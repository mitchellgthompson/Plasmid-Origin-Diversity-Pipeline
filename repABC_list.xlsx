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weisberg/Downloads/"/>
    </mc:Choice>
  </mc:AlternateContent>
  <xr:revisionPtr revIDLastSave="0" documentId="13_ncr:1_{BC0EFAE4-2D6E-B34A-BFE6-D288E11615E2}" xr6:coauthVersionLast="47" xr6:coauthVersionMax="47" xr10:uidLastSave="{00000000-0000-0000-0000-000000000000}"/>
  <bookViews>
    <workbookView xWindow="-56580" yWindow="1240" windowWidth="54020" windowHeight="30760" xr2:uid="{07770048-AA2A-7F48-8186-A1A1C66F3025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29" i="2"/>
  <c r="G46" i="2"/>
  <c r="G48" i="2"/>
  <c r="G49" i="2"/>
  <c r="G50" i="2"/>
  <c r="G52" i="2"/>
  <c r="G59" i="2"/>
  <c r="G78" i="2"/>
  <c r="G101" i="2"/>
  <c r="G102" i="2"/>
  <c r="G103" i="2"/>
  <c r="G104" i="2"/>
  <c r="G110" i="2"/>
  <c r="G111" i="2"/>
  <c r="G112" i="2"/>
  <c r="G113" i="2"/>
  <c r="G114" i="2"/>
  <c r="G115" i="2"/>
  <c r="G116" i="2"/>
  <c r="G117" i="2"/>
  <c r="G118" i="2"/>
  <c r="G4" i="2"/>
  <c r="G5" i="2"/>
  <c r="G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<sst xmlns="http://schemas.openxmlformats.org/spreadsheetml/2006/main" count="589" uniqueCount="251">
  <si>
    <t>15-1187-1-2a.gff3:CP123839.1</t>
  </si>
  <si>
    <t>15-1187-1-2a.gff3:CP123840.1</t>
  </si>
  <si>
    <t>15-1187-1-2a.gff3:CP123841.1</t>
  </si>
  <si>
    <t>15-1187-1-2a.gff3:CP123842.1</t>
  </si>
  <si>
    <t>1D1514.gff3:pAt</t>
  </si>
  <si>
    <t>1D1514.gff3:chromid</t>
  </si>
  <si>
    <t>1D1514.gff3:plasmid2</t>
  </si>
  <si>
    <t>1D1514.gff3:plasmid1</t>
  </si>
  <si>
    <t>1D1514.gff3:plasmid3</t>
  </si>
  <si>
    <t>1D1524.gff3:pAt</t>
  </si>
  <si>
    <t>1D1524.gff3:chromid</t>
  </si>
  <si>
    <t>1D1524.gff3:plasmid2</t>
  </si>
  <si>
    <t>1D1524.gff3:plasmid1</t>
  </si>
  <si>
    <t>AMS008.gff3:plasmid3</t>
  </si>
  <si>
    <t>AMS008.gff3:pAt</t>
  </si>
  <si>
    <t>AMS008.gff3:plasmid4</t>
  </si>
  <si>
    <t>AMS008.gff3:chromid</t>
  </si>
  <si>
    <t>AMS008.gff3:plasmid2</t>
  </si>
  <si>
    <t>Atu_K84_chromid.gff3:CP000629.1</t>
  </si>
  <si>
    <t>Atu_K84_pAgK84.gff3:CP000632.1</t>
  </si>
  <si>
    <t>Atu_K84_pAtK84b.gff3:CP000630.1</t>
  </si>
  <si>
    <t>Atu_K84_pAtK84c.gff3:CP000631.1</t>
  </si>
  <si>
    <t>CG1055.gff3:contig_2</t>
  </si>
  <si>
    <t>CG1055.gff3:contig_3</t>
  </si>
  <si>
    <t>CG474.gff3:chromid</t>
  </si>
  <si>
    <t>CG474.gff3:CG474_3</t>
  </si>
  <si>
    <t>CG474.gff3:CG474_4</t>
  </si>
  <si>
    <t>CG507.gff3:CG507_2</t>
  </si>
  <si>
    <t>CG507.gff3:CG507_4</t>
  </si>
  <si>
    <t>CG507.gff3:CG507_8</t>
  </si>
  <si>
    <t>CG958.gff3:chromid</t>
  </si>
  <si>
    <t>CG958.gff3:CG958_3</t>
  </si>
  <si>
    <t>CG958.gff3:CG958_4</t>
  </si>
  <si>
    <t>CG958.gff3:CG958_5</t>
  </si>
  <si>
    <t>K599.gff3:CAICSX020000002.1</t>
  </si>
  <si>
    <t>K599.gff3:CAICSX020000003.1</t>
  </si>
  <si>
    <t>NCIB_8196.gff3:NZ_JAAMDI010000041.1</t>
  </si>
  <si>
    <t>NCIB_8196.gff3:NZ_JAAMDI010000042.1</t>
  </si>
  <si>
    <t>NCIB_8196.gff3:NZ_JAAMDI010000039.1</t>
  </si>
  <si>
    <t>NCPPB_1641.gff3:NZ_LT009776.1</t>
  </si>
  <si>
    <t>NCPPB_1641.gff3:NZ_LT009777.1</t>
  </si>
  <si>
    <t>NCPPB_1641.gff3:NZ_LT009778.1</t>
  </si>
  <si>
    <t>Rhizobium_etli_CFN_42.gff3:CP000134.1</t>
  </si>
  <si>
    <t>Rhizobium_etli_CFN_42.gff3:CP000135.1</t>
  </si>
  <si>
    <t>Rhizobium_etli_CFN_42.gff3:CP000136.1</t>
  </si>
  <si>
    <t>Rhizobium_etli_CFN_42.gff3:U80928.5</t>
  </si>
  <si>
    <t>Rhizobium_etli_CFN_42.gff3:CP000137.1</t>
  </si>
  <si>
    <t>Rhizobium_etli_CFN_42.gff3:CP000138.1</t>
  </si>
  <si>
    <t>Sinorhizobium_fredii_NGR234.gff3:U00090.2</t>
  </si>
  <si>
    <t>Sinorhizobium_fredii_NGR234.gff3:CP000874.1</t>
  </si>
  <si>
    <t>T155_95.gff3:NZ_JAAMCX010000012.1</t>
  </si>
  <si>
    <t>T155_95.gff3:NZ_JAAMCX010000013.1</t>
  </si>
  <si>
    <t>T155_95.gff3:NZ_JAAMCX010000007.1</t>
  </si>
  <si>
    <t>AB2_73.gff3:contig_2</t>
  </si>
  <si>
    <t>AB2_73.gff3:contig_3</t>
  </si>
  <si>
    <t>AB2_73.gff3:contig_4</t>
  </si>
  <si>
    <t>AB2_73.gff3:contig_5</t>
  </si>
  <si>
    <t>AF3.44.gff3:contig_2</t>
  </si>
  <si>
    <t>AF3.44.gff3:contig_3</t>
  </si>
  <si>
    <t>AF3.44.gff3:contig_4</t>
  </si>
  <si>
    <t>B21_90.gff3:contig_2</t>
  </si>
  <si>
    <t>B21_90.gff3:contig_3</t>
  </si>
  <si>
    <t>B21_90.gff3:contig_4</t>
  </si>
  <si>
    <t>B21_90.gff3:contig_5</t>
  </si>
  <si>
    <t>B230_85.gff3:contig_2</t>
  </si>
  <si>
    <t>B230_85.gff3:contig_3</t>
  </si>
  <si>
    <t>B230_85.gff3:contig_4</t>
  </si>
  <si>
    <t>B230_85.gff3:contig_5</t>
  </si>
  <si>
    <t>B230_85.gff3:contig_6</t>
  </si>
  <si>
    <t>CA75_95.gff3:contig_2</t>
  </si>
  <si>
    <t>CA75_95.gff3:contig_3</t>
  </si>
  <si>
    <t>L51_94.gff3:contig_2</t>
  </si>
  <si>
    <t>L51_94.gff3:contig_3</t>
  </si>
  <si>
    <t>L51_94.gff3:contig_4</t>
  </si>
  <si>
    <t>L51_94.gff3:contig_5</t>
  </si>
  <si>
    <t>Q15_94.gff3:contig_2</t>
  </si>
  <si>
    <t>Q15_94.gff3:contig_3</t>
  </si>
  <si>
    <t>Q15_94.gff3:contig_4</t>
  </si>
  <si>
    <t>Q15_94.gff3:contig_5</t>
  </si>
  <si>
    <t>Q15_94.gff3:contig_6</t>
  </si>
  <si>
    <t>Q15_94.gff3:contig_7</t>
  </si>
  <si>
    <t>S7_73.gff3:contig_2</t>
  </si>
  <si>
    <t>S7_73.gff3:contig_3</t>
  </si>
  <si>
    <t>S7_73.gff3:contig_4</t>
  </si>
  <si>
    <t>C58.gff3:AE007870.2</t>
  </si>
  <si>
    <t>C58.gff3:AE007872.2</t>
  </si>
  <si>
    <t>C58.gff3:AE007871.2</t>
  </si>
  <si>
    <t>WS163.gff3:contig_3</t>
  </si>
  <si>
    <t>WS163.gff3:contig_4</t>
  </si>
  <si>
    <t>WS163.gff3:contig_5</t>
  </si>
  <si>
    <t>WS163.gff3:contig_6</t>
  </si>
  <si>
    <t>WS163.gff3:contig_7</t>
  </si>
  <si>
    <t>WS16.gff3:contig_2</t>
  </si>
  <si>
    <t>WS16.gff3:contig_3</t>
  </si>
  <si>
    <t>WS16.gff3:contig_4</t>
  </si>
  <si>
    <t>WS16.gff3:contig_5</t>
  </si>
  <si>
    <t>WS192.gff3:contig_2</t>
  </si>
  <si>
    <t>WS192.gff3:contig_3</t>
  </si>
  <si>
    <t>WS192.gff3:contig_4</t>
  </si>
  <si>
    <t>WS192.gff3:contig_5</t>
  </si>
  <si>
    <t>WS198.gff3:contig_2</t>
  </si>
  <si>
    <t>WS198.gff3:contig_3</t>
  </si>
  <si>
    <t>WS198.gff3:contig_4</t>
  </si>
  <si>
    <t>WS198.gff3:contig_5</t>
  </si>
  <si>
    <t>WS287.gff3:contig_2</t>
  </si>
  <si>
    <t>WS287.gff3:contig_3</t>
  </si>
  <si>
    <t>WS287.gff3:contig_4</t>
  </si>
  <si>
    <t>WS287.gff3:contig_5</t>
  </si>
  <si>
    <t>WS287.gff3:contig_6</t>
  </si>
  <si>
    <t>repB may be pseudogene</t>
  </si>
  <si>
    <t>repA, hyp, parA; not repABC</t>
  </si>
  <si>
    <t>strain_contig</t>
  </si>
  <si>
    <t>start</t>
  </si>
  <si>
    <t>end</t>
  </si>
  <si>
    <t>strand</t>
  </si>
  <si>
    <t>info</t>
  </si>
  <si>
    <t>Rhizobium leguminosarum</t>
  </si>
  <si>
    <t>Sinorhizobium</t>
  </si>
  <si>
    <t>chromid</t>
  </si>
  <si>
    <t>pTi Type IX</t>
  </si>
  <si>
    <t>Rhizobium etli</t>
  </si>
  <si>
    <t>start-200</t>
  </si>
  <si>
    <t>end+200</t>
  </si>
  <si>
    <t>pTi Type III rep 1</t>
  </si>
  <si>
    <t>pTi Type III rep 2</t>
  </si>
  <si>
    <t>pTi Type V rep 1</t>
  </si>
  <si>
    <t>pTi Type V rep 2</t>
  </si>
  <si>
    <t>pTi Type IV.a</t>
  </si>
  <si>
    <t>pTi Type IV.b ("plasmid1 and plasmid3" are two contigs of the plasmid)</t>
  </si>
  <si>
    <t>pTi Type VII</t>
  </si>
  <si>
    <t>pTi Type X</t>
  </si>
  <si>
    <t>pTi Type VIII.a</t>
  </si>
  <si>
    <t>pTi Type I.a</t>
  </si>
  <si>
    <t>pTi Type IV.c</t>
  </si>
  <si>
    <t>pTi Type I.c</t>
  </si>
  <si>
    <t>pTi Type IV.b</t>
  </si>
  <si>
    <t>pRi Type I</t>
  </si>
  <si>
    <t>pTi Type VIII.b</t>
  </si>
  <si>
    <t>pRi Type II</t>
  </si>
  <si>
    <t>pTi Type XI</t>
  </si>
  <si>
    <t>pTi Type VI</t>
  </si>
  <si>
    <t>vir gene plasmid</t>
  </si>
  <si>
    <t>pRi Type III</t>
  </si>
  <si>
    <t>Allorhizobium taibaishanense</t>
  </si>
  <si>
    <t>Rhizobium tumorigenes</t>
  </si>
  <si>
    <t>BV3; A. vitis</t>
  </si>
  <si>
    <t>Agrobacterium larrymoorei</t>
  </si>
  <si>
    <t>strain taxonomy</t>
  </si>
  <si>
    <t>BV1</t>
  </si>
  <si>
    <t>BV2</t>
  </si>
  <si>
    <t>BV2-like</t>
  </si>
  <si>
    <t>pTi Type V rep 1 (repA may be a pseudogene)</t>
  </si>
  <si>
    <t>BV3; A. vitis (wild grape)</t>
  </si>
  <si>
    <t>startfixed</t>
  </si>
  <si>
    <t>endfixed</t>
  </si>
  <si>
    <t>wrapstart</t>
  </si>
  <si>
    <t>wrapend</t>
  </si>
  <si>
    <t>Start</t>
  </si>
  <si>
    <t>WrapStart</t>
  </si>
  <si>
    <t>WrapEnd</t>
  </si>
  <si>
    <t>End</t>
  </si>
  <si>
    <t>Strand</t>
  </si>
  <si>
    <t>RepName</t>
  </si>
  <si>
    <t>CP123839.1</t>
  </si>
  <si>
    <t>CP123840.1</t>
  </si>
  <si>
    <t>CP123841.1</t>
  </si>
  <si>
    <t>CP123842.1</t>
  </si>
  <si>
    <t>pAt</t>
  </si>
  <si>
    <t>plasmid1</t>
  </si>
  <si>
    <t>plasmid2</t>
  </si>
  <si>
    <t>plasmid3</t>
  </si>
  <si>
    <t>contig_2</t>
  </si>
  <si>
    <t>contig_3</t>
  </si>
  <si>
    <t>contig_4</t>
  </si>
  <si>
    <t>contig_5</t>
  </si>
  <si>
    <t>plasmid4</t>
  </si>
  <si>
    <t>CP000629.1</t>
  </si>
  <si>
    <t>CP000632.1</t>
  </si>
  <si>
    <t>CP000630.1</t>
  </si>
  <si>
    <t>CP000631.1</t>
  </si>
  <si>
    <t>contig_6</t>
  </si>
  <si>
    <t>AE007870.2</t>
  </si>
  <si>
    <t>AE007871.2</t>
  </si>
  <si>
    <t>AE007872.2</t>
  </si>
  <si>
    <t>CG474_3</t>
  </si>
  <si>
    <t>CG474_4</t>
  </si>
  <si>
    <t>CG507_2</t>
  </si>
  <si>
    <t>CG507_4</t>
  </si>
  <si>
    <t>CG507_8</t>
  </si>
  <si>
    <t>CG958_3</t>
  </si>
  <si>
    <t>CG958_4</t>
  </si>
  <si>
    <t>CG958_5</t>
  </si>
  <si>
    <t>CAICSX020000002.1</t>
  </si>
  <si>
    <t>CAICSX020000003.1</t>
  </si>
  <si>
    <t>NZ_JAAMDI010000039.1</t>
  </si>
  <si>
    <t>NZ_JAAMDI010000041.1</t>
  </si>
  <si>
    <t>NZ_JAAMDI010000042.1</t>
  </si>
  <si>
    <t>NZ_LT009776.1</t>
  </si>
  <si>
    <t>NZ_LT009777.1</t>
  </si>
  <si>
    <t>NZ_LT009778.1</t>
  </si>
  <si>
    <t>contig_7</t>
  </si>
  <si>
    <t>CP000134.1</t>
  </si>
  <si>
    <t>CP000135.1</t>
  </si>
  <si>
    <t>CP000136.1</t>
  </si>
  <si>
    <t>CP000137.1</t>
  </si>
  <si>
    <t>CP000138.1</t>
  </si>
  <si>
    <t>U80928.5</t>
  </si>
  <si>
    <t>CP000874.1</t>
  </si>
  <si>
    <t>U00090.2</t>
  </si>
  <si>
    <t>NZ_JAAMCX010000007.1</t>
  </si>
  <si>
    <t>NZ_JAAMCX010000012.1</t>
  </si>
  <si>
    <t>NZ_JAAMCX010000013.1</t>
  </si>
  <si>
    <t>GenomeFilename</t>
  </si>
  <si>
    <t>Contig</t>
  </si>
  <si>
    <t>15-1187-1-2a.gbk</t>
  </si>
  <si>
    <t>1D1514.gbk</t>
  </si>
  <si>
    <t>1D1524.gbk</t>
  </si>
  <si>
    <t>AB2_73.gbk</t>
  </si>
  <si>
    <t>AF3.44.gbk</t>
  </si>
  <si>
    <t>AMS008.gbk</t>
  </si>
  <si>
    <t>Atu_K84_chromid.gbk</t>
  </si>
  <si>
    <t>Atu_K84_pAgK84.gbk</t>
  </si>
  <si>
    <t>Atu_K84_pAtK84b.gbk</t>
  </si>
  <si>
    <t>Atu_K84_pAtK84c.gbk</t>
  </si>
  <si>
    <t>B21_90.gbk</t>
  </si>
  <si>
    <t>B230_85.gbk</t>
  </si>
  <si>
    <t>C58.gbk</t>
  </si>
  <si>
    <t>CA75_95.gbk</t>
  </si>
  <si>
    <t>CG1055.gbk</t>
  </si>
  <si>
    <t>CG474.gbk</t>
  </si>
  <si>
    <t>CG507.gbk</t>
  </si>
  <si>
    <t>CG958.gbk</t>
  </si>
  <si>
    <t>K599.gbk</t>
  </si>
  <si>
    <t>L51_94.gbk</t>
  </si>
  <si>
    <t>NCIB_8196.gbk</t>
  </si>
  <si>
    <t>NCPPB_1641.gbk</t>
  </si>
  <si>
    <t>Q15_94.gbk</t>
  </si>
  <si>
    <t>Rhizobium_etli_CFN_42.gbk</t>
  </si>
  <si>
    <t>S7_73.gbk</t>
  </si>
  <si>
    <t>Sinorhizobium_fredii_NGR234.gbk</t>
  </si>
  <si>
    <t>T155_95.gbk</t>
  </si>
  <si>
    <t>WS16.gbk</t>
  </si>
  <si>
    <t>WS163.gbk</t>
  </si>
  <si>
    <t>WS192.gbk</t>
  </si>
  <si>
    <t>WS198.gbk</t>
  </si>
  <si>
    <t>WS287.gbk</t>
  </si>
  <si>
    <t>rep 1</t>
  </si>
  <si>
    <t>rep 2</t>
  </si>
  <si>
    <t>high priority</t>
  </si>
  <si>
    <t>yes</t>
  </si>
  <si>
    <t>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</si>
</sst>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FB40-AAC5-134E-A865-C2254D01D0E7}">
  <dimension ref="A1:M119"/>
  <sheetViews>
    <sheetView tabSelected="1" zoomScale="162" workbookViewId="0">
      <selection activeCell="M8" sqref="M8"/>
    </sheetView>
  </sheetViews>
  <sheetFormatPr baseColWidth="10" defaultRowHeight="16" x14ac:dyDescent="0.2"/>
  <cols>
    <col min="1" max="1" width="39.83203125" bestFit="1" customWidth="1"/>
    <col min="11" max="11" width="57.6640625" bestFit="1" customWidth="1"/>
    <col min="12" max="12" width="25.1640625" bestFit="1" customWidth="1"/>
  </cols>
  <sheetData>
    <row r="1" spans="1:13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121</v>
      </c>
      <c r="F1" s="1" t="s">
        <v>122</v>
      </c>
      <c r="G1" s="1" t="s">
        <v>155</v>
      </c>
      <c r="H1" s="1" t="s">
        <v>156</v>
      </c>
      <c r="I1" s="1" t="s">
        <v>153</v>
      </c>
      <c r="J1" s="1" t="s">
        <v>154</v>
      </c>
      <c r="K1" s="1" t="s">
        <v>115</v>
      </c>
      <c r="L1" s="1" t="s">
        <v>147</v>
      </c>
      <c r="M1" s="1" t="s">
        <v>248</v>
      </c>
    </row>
    <row r="2" spans="1:13" x14ac:dyDescent="0.2">
      <c r="A2" t="s">
        <v>0</v>
      </c>
      <c r="B2">
        <v>1138601</v>
      </c>
      <c r="C2">
        <v>1142285</v>
      </c>
      <c r="D2">
        <v>-1</v>
      </c>
      <c r="E2">
        <f>$B2-200</f>
        <v>1138401</v>
      </c>
      <c r="F2">
        <f>$C2+200</f>
        <v>1142485</v>
      </c>
      <c r="I2">
        <v>1138401</v>
      </c>
      <c r="J2">
        <v>1142485</v>
      </c>
      <c r="L2" t="s">
        <v>148</v>
      </c>
    </row>
    <row r="3" spans="1:13" x14ac:dyDescent="0.2">
      <c r="A3" t="s">
        <v>1</v>
      </c>
      <c r="B3">
        <v>1</v>
      </c>
      <c r="C3">
        <v>3723</v>
      </c>
      <c r="D3">
        <v>1</v>
      </c>
      <c r="E3">
        <f t="shared" ref="E3:E65" si="0">$B3-200</f>
        <v>-199</v>
      </c>
      <c r="F3">
        <f t="shared" ref="F3:F65" si="1">$C3+200</f>
        <v>3923</v>
      </c>
      <c r="G3">
        <f>$H3+E3</f>
        <v>659031</v>
      </c>
      <c r="H3">
        <v>659230</v>
      </c>
      <c r="I3">
        <v>1</v>
      </c>
      <c r="J3">
        <v>3923</v>
      </c>
      <c r="L3" t="s">
        <v>148</v>
      </c>
    </row>
    <row r="4" spans="1:13" x14ac:dyDescent="0.2">
      <c r="A4" t="s">
        <v>2</v>
      </c>
      <c r="B4">
        <v>1</v>
      </c>
      <c r="C4">
        <v>3671</v>
      </c>
      <c r="D4">
        <v>1</v>
      </c>
      <c r="E4">
        <f t="shared" si="0"/>
        <v>-199</v>
      </c>
      <c r="F4">
        <f t="shared" si="1"/>
        <v>3871</v>
      </c>
      <c r="G4">
        <f t="shared" ref="G4:G59" si="2">$H4+E4</f>
        <v>126656</v>
      </c>
      <c r="H4">
        <v>126855</v>
      </c>
      <c r="I4">
        <v>1</v>
      </c>
      <c r="J4">
        <v>3871</v>
      </c>
      <c r="L4" t="s">
        <v>148</v>
      </c>
    </row>
    <row r="5" spans="1:13" x14ac:dyDescent="0.2">
      <c r="A5" t="s">
        <v>3</v>
      </c>
      <c r="B5">
        <v>1</v>
      </c>
      <c r="C5">
        <v>3872</v>
      </c>
      <c r="D5">
        <v>1</v>
      </c>
      <c r="E5">
        <f t="shared" si="0"/>
        <v>-199</v>
      </c>
      <c r="F5">
        <f t="shared" si="1"/>
        <v>4072</v>
      </c>
      <c r="G5">
        <f t="shared" si="2"/>
        <v>208932</v>
      </c>
      <c r="H5">
        <v>209131</v>
      </c>
      <c r="I5">
        <v>1</v>
      </c>
      <c r="J5">
        <v>4072</v>
      </c>
      <c r="K5" t="s">
        <v>123</v>
      </c>
      <c r="L5" t="s">
        <v>148</v>
      </c>
      <c r="M5" t="s">
        <v>249</v>
      </c>
    </row>
    <row r="6" spans="1:13" x14ac:dyDescent="0.2">
      <c r="A6" t="s">
        <v>3</v>
      </c>
      <c r="B6">
        <v>204545</v>
      </c>
      <c r="C6">
        <v>208192</v>
      </c>
      <c r="D6">
        <v>1</v>
      </c>
      <c r="E6">
        <f t="shared" si="0"/>
        <v>204345</v>
      </c>
      <c r="F6">
        <f t="shared" si="1"/>
        <v>208392</v>
      </c>
      <c r="I6">
        <v>204345</v>
      </c>
      <c r="J6">
        <v>208392</v>
      </c>
      <c r="K6" t="s">
        <v>124</v>
      </c>
      <c r="L6" t="s">
        <v>148</v>
      </c>
    </row>
    <row r="7" spans="1:13" x14ac:dyDescent="0.2">
      <c r="A7" t="s">
        <v>5</v>
      </c>
      <c r="B7">
        <v>680881</v>
      </c>
      <c r="C7">
        <v>685384</v>
      </c>
      <c r="D7">
        <v>1</v>
      </c>
      <c r="E7">
        <f t="shared" si="0"/>
        <v>680681</v>
      </c>
      <c r="F7">
        <f t="shared" si="1"/>
        <v>685584</v>
      </c>
      <c r="I7">
        <v>680681</v>
      </c>
      <c r="J7">
        <v>685584</v>
      </c>
      <c r="L7" t="s">
        <v>145</v>
      </c>
      <c r="M7" t="s">
        <v>249</v>
      </c>
    </row>
    <row r="8" spans="1:13" x14ac:dyDescent="0.2">
      <c r="A8" t="s">
        <v>4</v>
      </c>
      <c r="B8">
        <v>499605</v>
      </c>
      <c r="C8">
        <v>503219</v>
      </c>
      <c r="D8">
        <v>-1</v>
      </c>
      <c r="E8">
        <f t="shared" si="0"/>
        <v>499405</v>
      </c>
      <c r="F8">
        <f t="shared" si="1"/>
        <v>503419</v>
      </c>
      <c r="I8">
        <v>499405</v>
      </c>
      <c r="J8">
        <v>503419</v>
      </c>
      <c r="L8" t="s">
        <v>145</v>
      </c>
    </row>
    <row r="9" spans="1:13" x14ac:dyDescent="0.2">
      <c r="A9" t="s">
        <v>7</v>
      </c>
      <c r="B9">
        <v>96514</v>
      </c>
      <c r="C9">
        <v>100098</v>
      </c>
      <c r="D9">
        <v>-1</v>
      </c>
      <c r="E9">
        <f t="shared" si="0"/>
        <v>96314</v>
      </c>
      <c r="F9">
        <f t="shared" si="1"/>
        <v>100298</v>
      </c>
      <c r="I9">
        <v>96314</v>
      </c>
      <c r="J9">
        <v>100298</v>
      </c>
      <c r="L9" t="s">
        <v>145</v>
      </c>
    </row>
    <row r="10" spans="1:13" x14ac:dyDescent="0.2">
      <c r="A10" t="s">
        <v>6</v>
      </c>
      <c r="B10">
        <v>30811</v>
      </c>
      <c r="C10">
        <v>34145</v>
      </c>
      <c r="D10">
        <v>-1</v>
      </c>
      <c r="E10">
        <f t="shared" si="0"/>
        <v>30611</v>
      </c>
      <c r="F10">
        <f t="shared" si="1"/>
        <v>34345</v>
      </c>
      <c r="I10">
        <v>30611</v>
      </c>
      <c r="J10">
        <v>34345</v>
      </c>
      <c r="K10" t="s">
        <v>151</v>
      </c>
      <c r="L10" t="s">
        <v>145</v>
      </c>
    </row>
    <row r="11" spans="1:13" x14ac:dyDescent="0.2">
      <c r="A11" t="s">
        <v>6</v>
      </c>
      <c r="B11">
        <v>147943</v>
      </c>
      <c r="C11">
        <v>151695</v>
      </c>
      <c r="D11">
        <v>-1</v>
      </c>
      <c r="E11">
        <f t="shared" si="0"/>
        <v>147743</v>
      </c>
      <c r="F11">
        <f t="shared" si="1"/>
        <v>151895</v>
      </c>
      <c r="I11">
        <v>147743</v>
      </c>
      <c r="J11">
        <v>151895</v>
      </c>
      <c r="K11" t="s">
        <v>126</v>
      </c>
      <c r="L11" t="s">
        <v>145</v>
      </c>
      <c r="M11" t="s">
        <v>249</v>
      </c>
    </row>
    <row r="12" spans="1:13" x14ac:dyDescent="0.2">
      <c r="A12" t="s">
        <v>8</v>
      </c>
      <c r="B12">
        <v>24835</v>
      </c>
      <c r="C12">
        <v>28470</v>
      </c>
      <c r="D12">
        <v>1</v>
      </c>
      <c r="E12">
        <f t="shared" si="0"/>
        <v>24635</v>
      </c>
      <c r="F12">
        <f t="shared" si="1"/>
        <v>28670</v>
      </c>
      <c r="I12">
        <v>24635</v>
      </c>
      <c r="J12">
        <v>28670</v>
      </c>
      <c r="L12" t="s">
        <v>145</v>
      </c>
    </row>
    <row r="13" spans="1:13" x14ac:dyDescent="0.2">
      <c r="A13" t="s">
        <v>10</v>
      </c>
      <c r="B13">
        <v>464598</v>
      </c>
      <c r="C13">
        <v>469100</v>
      </c>
      <c r="D13">
        <v>1</v>
      </c>
      <c r="E13">
        <f t="shared" si="0"/>
        <v>464398</v>
      </c>
      <c r="F13">
        <f t="shared" si="1"/>
        <v>469300</v>
      </c>
      <c r="I13">
        <v>464398</v>
      </c>
      <c r="J13">
        <v>469300</v>
      </c>
      <c r="L13" t="s">
        <v>145</v>
      </c>
    </row>
    <row r="14" spans="1:13" x14ac:dyDescent="0.2">
      <c r="A14" t="s">
        <v>9</v>
      </c>
      <c r="B14">
        <v>466194</v>
      </c>
      <c r="C14">
        <v>469807</v>
      </c>
      <c r="D14">
        <v>1</v>
      </c>
      <c r="E14">
        <f t="shared" si="0"/>
        <v>465994</v>
      </c>
      <c r="F14">
        <f t="shared" si="1"/>
        <v>470007</v>
      </c>
      <c r="I14">
        <v>465994</v>
      </c>
      <c r="J14">
        <v>470007</v>
      </c>
      <c r="L14" t="s">
        <v>145</v>
      </c>
    </row>
    <row r="15" spans="1:13" x14ac:dyDescent="0.2">
      <c r="A15" t="s">
        <v>12</v>
      </c>
      <c r="B15">
        <v>176935</v>
      </c>
      <c r="C15">
        <v>180600</v>
      </c>
      <c r="D15">
        <v>-1</v>
      </c>
      <c r="E15">
        <f t="shared" si="0"/>
        <v>176735</v>
      </c>
      <c r="F15">
        <f t="shared" si="1"/>
        <v>180800</v>
      </c>
      <c r="I15">
        <v>176735</v>
      </c>
      <c r="J15">
        <v>180800</v>
      </c>
      <c r="L15" t="s">
        <v>145</v>
      </c>
    </row>
    <row r="16" spans="1:13" x14ac:dyDescent="0.2">
      <c r="A16" t="s">
        <v>11</v>
      </c>
      <c r="B16">
        <v>137</v>
      </c>
      <c r="C16">
        <v>157406</v>
      </c>
      <c r="D16">
        <v>-1</v>
      </c>
      <c r="E16">
        <f t="shared" si="0"/>
        <v>-63</v>
      </c>
      <c r="F16">
        <f t="shared" si="1"/>
        <v>157606</v>
      </c>
      <c r="G16">
        <f t="shared" si="2"/>
        <v>157436</v>
      </c>
      <c r="H16">
        <v>157499</v>
      </c>
      <c r="I16">
        <v>1</v>
      </c>
      <c r="J16">
        <v>157606</v>
      </c>
      <c r="K16" t="s">
        <v>127</v>
      </c>
      <c r="L16" t="s">
        <v>145</v>
      </c>
      <c r="M16" t="s">
        <v>249</v>
      </c>
    </row>
    <row r="17" spans="1:13" x14ac:dyDescent="0.2">
      <c r="A17" t="s">
        <v>53</v>
      </c>
      <c r="B17">
        <v>356698</v>
      </c>
      <c r="C17">
        <v>360360</v>
      </c>
      <c r="D17">
        <v>-1</v>
      </c>
      <c r="E17">
        <f t="shared" si="0"/>
        <v>356498</v>
      </c>
      <c r="F17">
        <f t="shared" si="1"/>
        <v>360560</v>
      </c>
      <c r="I17">
        <v>356498</v>
      </c>
      <c r="J17">
        <v>360560</v>
      </c>
      <c r="L17" t="s">
        <v>150</v>
      </c>
    </row>
    <row r="18" spans="1:13" x14ac:dyDescent="0.2">
      <c r="A18" t="s">
        <v>54</v>
      </c>
      <c r="B18">
        <v>529424</v>
      </c>
      <c r="C18">
        <v>533089</v>
      </c>
      <c r="D18">
        <v>1</v>
      </c>
      <c r="E18">
        <f t="shared" si="0"/>
        <v>529224</v>
      </c>
      <c r="F18">
        <f t="shared" si="1"/>
        <v>533289</v>
      </c>
      <c r="I18">
        <v>529224</v>
      </c>
      <c r="J18">
        <v>533289</v>
      </c>
      <c r="L18" t="s">
        <v>150</v>
      </c>
    </row>
    <row r="19" spans="1:13" x14ac:dyDescent="0.2">
      <c r="A19" t="s">
        <v>55</v>
      </c>
      <c r="B19">
        <v>93893</v>
      </c>
      <c r="C19">
        <v>97576</v>
      </c>
      <c r="D19">
        <v>1</v>
      </c>
      <c r="E19">
        <f t="shared" si="0"/>
        <v>93693</v>
      </c>
      <c r="F19">
        <f t="shared" si="1"/>
        <v>97776</v>
      </c>
      <c r="I19">
        <v>93693</v>
      </c>
      <c r="J19">
        <v>97776</v>
      </c>
      <c r="K19" t="s">
        <v>119</v>
      </c>
      <c r="L19" t="s">
        <v>150</v>
      </c>
      <c r="M19" t="s">
        <v>249</v>
      </c>
    </row>
    <row r="20" spans="1:13" x14ac:dyDescent="0.2">
      <c r="A20" t="s">
        <v>56</v>
      </c>
      <c r="B20">
        <v>143448</v>
      </c>
      <c r="C20">
        <v>147058</v>
      </c>
      <c r="D20">
        <v>-1</v>
      </c>
      <c r="E20">
        <f t="shared" si="0"/>
        <v>143248</v>
      </c>
      <c r="F20">
        <f t="shared" si="1"/>
        <v>147258</v>
      </c>
      <c r="I20">
        <v>143248</v>
      </c>
      <c r="J20">
        <v>147258</v>
      </c>
      <c r="L20" t="s">
        <v>150</v>
      </c>
    </row>
    <row r="21" spans="1:13" x14ac:dyDescent="0.2">
      <c r="A21" t="s">
        <v>57</v>
      </c>
      <c r="B21">
        <v>1104711</v>
      </c>
      <c r="C21">
        <v>1108412</v>
      </c>
      <c r="D21">
        <v>-1</v>
      </c>
      <c r="E21">
        <f t="shared" si="0"/>
        <v>1104511</v>
      </c>
      <c r="F21">
        <f t="shared" si="1"/>
        <v>1108612</v>
      </c>
      <c r="I21">
        <v>1104511</v>
      </c>
      <c r="J21">
        <v>1108612</v>
      </c>
      <c r="L21" t="s">
        <v>146</v>
      </c>
    </row>
    <row r="22" spans="1:13" x14ac:dyDescent="0.2">
      <c r="A22" t="s">
        <v>58</v>
      </c>
      <c r="B22">
        <v>352218</v>
      </c>
      <c r="C22">
        <v>355909</v>
      </c>
      <c r="D22">
        <v>1</v>
      </c>
      <c r="E22">
        <f t="shared" si="0"/>
        <v>352018</v>
      </c>
      <c r="F22">
        <f t="shared" si="1"/>
        <v>356109</v>
      </c>
      <c r="I22">
        <v>352018</v>
      </c>
      <c r="J22">
        <v>356109</v>
      </c>
      <c r="K22" t="s">
        <v>130</v>
      </c>
      <c r="L22" t="s">
        <v>146</v>
      </c>
      <c r="M22" t="s">
        <v>249</v>
      </c>
    </row>
    <row r="23" spans="1:13" x14ac:dyDescent="0.2">
      <c r="A23" t="s">
        <v>59</v>
      </c>
      <c r="B23">
        <v>286383</v>
      </c>
      <c r="C23">
        <v>290050</v>
      </c>
      <c r="D23">
        <v>1</v>
      </c>
      <c r="E23">
        <f t="shared" si="0"/>
        <v>286183</v>
      </c>
      <c r="F23">
        <f t="shared" si="1"/>
        <v>290250</v>
      </c>
      <c r="I23">
        <v>286183</v>
      </c>
      <c r="J23">
        <v>290250</v>
      </c>
      <c r="L23" t="s">
        <v>146</v>
      </c>
    </row>
    <row r="24" spans="1:13" x14ac:dyDescent="0.2">
      <c r="A24" t="s">
        <v>16</v>
      </c>
      <c r="B24">
        <v>768869</v>
      </c>
      <c r="C24">
        <v>773373</v>
      </c>
      <c r="D24">
        <v>1</v>
      </c>
      <c r="E24">
        <f t="shared" si="0"/>
        <v>768669</v>
      </c>
      <c r="F24">
        <f t="shared" si="1"/>
        <v>773573</v>
      </c>
      <c r="I24">
        <v>768669</v>
      </c>
      <c r="J24">
        <v>773573</v>
      </c>
      <c r="K24" t="s">
        <v>109</v>
      </c>
      <c r="L24" t="s">
        <v>145</v>
      </c>
    </row>
    <row r="25" spans="1:13" x14ac:dyDescent="0.2">
      <c r="A25" t="s">
        <v>14</v>
      </c>
      <c r="B25">
        <v>114205</v>
      </c>
      <c r="C25">
        <v>117818</v>
      </c>
      <c r="D25">
        <v>1</v>
      </c>
      <c r="E25">
        <f t="shared" si="0"/>
        <v>114005</v>
      </c>
      <c r="F25">
        <f t="shared" si="1"/>
        <v>118018</v>
      </c>
      <c r="I25">
        <v>114005</v>
      </c>
      <c r="J25">
        <v>118018</v>
      </c>
      <c r="L25" t="s">
        <v>145</v>
      </c>
    </row>
    <row r="26" spans="1:13" x14ac:dyDescent="0.2">
      <c r="A26" t="s">
        <v>17</v>
      </c>
      <c r="B26">
        <v>130310</v>
      </c>
      <c r="C26">
        <v>133894</v>
      </c>
      <c r="D26">
        <v>-1</v>
      </c>
      <c r="E26">
        <f t="shared" si="0"/>
        <v>130110</v>
      </c>
      <c r="F26">
        <f t="shared" si="1"/>
        <v>134094</v>
      </c>
      <c r="I26">
        <v>130110</v>
      </c>
      <c r="J26">
        <v>134094</v>
      </c>
      <c r="L26" t="s">
        <v>145</v>
      </c>
    </row>
    <row r="27" spans="1:13" x14ac:dyDescent="0.2">
      <c r="A27" t="s">
        <v>13</v>
      </c>
      <c r="B27">
        <v>3512</v>
      </c>
      <c r="C27">
        <v>7504</v>
      </c>
      <c r="D27">
        <v>-1</v>
      </c>
      <c r="E27">
        <f t="shared" si="0"/>
        <v>3312</v>
      </c>
      <c r="F27">
        <f t="shared" si="1"/>
        <v>7704</v>
      </c>
      <c r="I27">
        <v>3312</v>
      </c>
      <c r="J27">
        <v>7704</v>
      </c>
      <c r="K27" t="s">
        <v>128</v>
      </c>
      <c r="L27" t="s">
        <v>145</v>
      </c>
      <c r="M27" t="s">
        <v>249</v>
      </c>
    </row>
    <row r="28" spans="1:13" x14ac:dyDescent="0.2">
      <c r="A28" t="s">
        <v>15</v>
      </c>
      <c r="B28">
        <v>13671</v>
      </c>
      <c r="C28">
        <v>17228</v>
      </c>
      <c r="D28">
        <v>-1</v>
      </c>
      <c r="E28">
        <f t="shared" si="0"/>
        <v>13471</v>
      </c>
      <c r="F28">
        <f t="shared" si="1"/>
        <v>17428</v>
      </c>
      <c r="I28">
        <v>13471</v>
      </c>
      <c r="J28">
        <v>17428</v>
      </c>
      <c r="L28" t="s">
        <v>145</v>
      </c>
    </row>
    <row r="29" spans="1:13" x14ac:dyDescent="0.2">
      <c r="A29" t="s">
        <v>18</v>
      </c>
      <c r="B29">
        <v>147</v>
      </c>
      <c r="C29">
        <v>3730</v>
      </c>
      <c r="D29">
        <v>1</v>
      </c>
      <c r="E29">
        <f t="shared" si="0"/>
        <v>-53</v>
      </c>
      <c r="F29">
        <f t="shared" si="1"/>
        <v>3930</v>
      </c>
      <c r="G29">
        <f t="shared" si="2"/>
        <v>2650860</v>
      </c>
      <c r="H29">
        <v>2650913</v>
      </c>
      <c r="I29">
        <v>1</v>
      </c>
      <c r="J29">
        <v>3930</v>
      </c>
      <c r="L29" t="s">
        <v>149</v>
      </c>
      <c r="M29" t="s">
        <v>249</v>
      </c>
    </row>
    <row r="30" spans="1:13" x14ac:dyDescent="0.2">
      <c r="A30" t="s">
        <v>19</v>
      </c>
      <c r="B30">
        <v>33553</v>
      </c>
      <c r="C30">
        <v>36118</v>
      </c>
      <c r="D30">
        <v>1</v>
      </c>
      <c r="E30">
        <f t="shared" si="0"/>
        <v>33353</v>
      </c>
      <c r="F30">
        <f t="shared" si="1"/>
        <v>36318</v>
      </c>
      <c r="I30">
        <v>33353</v>
      </c>
      <c r="J30">
        <v>36318</v>
      </c>
      <c r="K30" t="s">
        <v>110</v>
      </c>
      <c r="L30" t="s">
        <v>149</v>
      </c>
      <c r="M30" t="s">
        <v>249</v>
      </c>
    </row>
    <row r="31" spans="1:13" x14ac:dyDescent="0.2">
      <c r="A31" t="s">
        <v>20</v>
      </c>
      <c r="B31">
        <v>129854</v>
      </c>
      <c r="C31">
        <v>133863</v>
      </c>
      <c r="D31">
        <v>1</v>
      </c>
      <c r="E31">
        <f t="shared" si="0"/>
        <v>129654</v>
      </c>
      <c r="F31">
        <f t="shared" si="1"/>
        <v>134063</v>
      </c>
      <c r="I31">
        <v>129654</v>
      </c>
      <c r="J31">
        <v>134063</v>
      </c>
      <c r="L31" t="s">
        <v>149</v>
      </c>
    </row>
    <row r="32" spans="1:13" x14ac:dyDescent="0.2">
      <c r="A32" t="s">
        <v>21</v>
      </c>
      <c r="B32">
        <v>14236</v>
      </c>
      <c r="C32">
        <v>17905</v>
      </c>
      <c r="D32">
        <v>1</v>
      </c>
      <c r="E32">
        <f t="shared" si="0"/>
        <v>14036</v>
      </c>
      <c r="F32">
        <f t="shared" si="1"/>
        <v>18105</v>
      </c>
      <c r="I32">
        <v>14036</v>
      </c>
      <c r="J32">
        <v>18105</v>
      </c>
      <c r="L32" t="s">
        <v>149</v>
      </c>
    </row>
    <row r="33" spans="1:13" x14ac:dyDescent="0.2">
      <c r="A33" t="s">
        <v>60</v>
      </c>
      <c r="B33">
        <v>963056</v>
      </c>
      <c r="C33">
        <v>966439</v>
      </c>
      <c r="D33">
        <v>-1</v>
      </c>
      <c r="E33">
        <f t="shared" si="0"/>
        <v>962856</v>
      </c>
      <c r="F33">
        <f t="shared" si="1"/>
        <v>966639</v>
      </c>
      <c r="I33">
        <v>962856</v>
      </c>
      <c r="J33">
        <v>966639</v>
      </c>
      <c r="L33" t="s">
        <v>144</v>
      </c>
    </row>
    <row r="34" spans="1:13" x14ac:dyDescent="0.2">
      <c r="A34" t="s">
        <v>60</v>
      </c>
      <c r="B34">
        <v>1066797</v>
      </c>
      <c r="C34">
        <v>1070413</v>
      </c>
      <c r="D34">
        <v>-1</v>
      </c>
      <c r="E34">
        <f t="shared" si="0"/>
        <v>1066597</v>
      </c>
      <c r="F34">
        <f t="shared" si="1"/>
        <v>1070613</v>
      </c>
      <c r="I34">
        <v>1066597</v>
      </c>
      <c r="J34">
        <v>1070613</v>
      </c>
      <c r="L34" t="s">
        <v>144</v>
      </c>
    </row>
    <row r="35" spans="1:13" x14ac:dyDescent="0.2">
      <c r="A35" t="s">
        <v>61</v>
      </c>
      <c r="B35">
        <v>342526</v>
      </c>
      <c r="C35">
        <v>346267</v>
      </c>
      <c r="D35">
        <v>-1</v>
      </c>
      <c r="E35">
        <f t="shared" si="0"/>
        <v>342326</v>
      </c>
      <c r="F35">
        <f t="shared" si="1"/>
        <v>346467</v>
      </c>
      <c r="I35">
        <v>342326</v>
      </c>
      <c r="J35">
        <v>346467</v>
      </c>
      <c r="K35" t="s">
        <v>129</v>
      </c>
      <c r="L35" t="s">
        <v>144</v>
      </c>
      <c r="M35" t="s">
        <v>249</v>
      </c>
    </row>
    <row r="36" spans="1:13" x14ac:dyDescent="0.2">
      <c r="A36" t="s">
        <v>62</v>
      </c>
      <c r="B36">
        <v>46847</v>
      </c>
      <c r="C36">
        <v>50544</v>
      </c>
      <c r="D36">
        <v>-1</v>
      </c>
      <c r="E36">
        <f t="shared" si="0"/>
        <v>46647</v>
      </c>
      <c r="F36">
        <f t="shared" si="1"/>
        <v>50744</v>
      </c>
      <c r="I36">
        <v>46647</v>
      </c>
      <c r="J36">
        <v>50744</v>
      </c>
      <c r="L36" t="s">
        <v>144</v>
      </c>
    </row>
    <row r="37" spans="1:13" x14ac:dyDescent="0.2">
      <c r="A37" t="s">
        <v>63</v>
      </c>
      <c r="B37">
        <v>168810</v>
      </c>
      <c r="C37">
        <v>172506</v>
      </c>
      <c r="D37">
        <v>-1</v>
      </c>
      <c r="E37">
        <f t="shared" si="0"/>
        <v>168610</v>
      </c>
      <c r="F37">
        <f t="shared" si="1"/>
        <v>172706</v>
      </c>
      <c r="I37">
        <v>168610</v>
      </c>
      <c r="J37">
        <v>172706</v>
      </c>
      <c r="L37" t="s">
        <v>144</v>
      </c>
    </row>
    <row r="38" spans="1:13" x14ac:dyDescent="0.2">
      <c r="A38" t="s">
        <v>64</v>
      </c>
      <c r="B38">
        <v>1054278</v>
      </c>
      <c r="C38">
        <v>1057375</v>
      </c>
      <c r="D38">
        <v>1</v>
      </c>
      <c r="E38">
        <f t="shared" si="0"/>
        <v>1054078</v>
      </c>
      <c r="F38">
        <f t="shared" si="1"/>
        <v>1057575</v>
      </c>
      <c r="I38">
        <v>1054078</v>
      </c>
      <c r="J38">
        <v>1057575</v>
      </c>
      <c r="L38" t="s">
        <v>144</v>
      </c>
    </row>
    <row r="39" spans="1:13" x14ac:dyDescent="0.2">
      <c r="A39" t="s">
        <v>64</v>
      </c>
      <c r="B39">
        <v>1070547</v>
      </c>
      <c r="C39">
        <v>1074163</v>
      </c>
      <c r="D39">
        <v>1</v>
      </c>
      <c r="E39">
        <f t="shared" si="0"/>
        <v>1070347</v>
      </c>
      <c r="F39">
        <f t="shared" si="1"/>
        <v>1074363</v>
      </c>
      <c r="I39">
        <v>1070347</v>
      </c>
      <c r="J39">
        <v>1074363</v>
      </c>
      <c r="L39" t="s">
        <v>144</v>
      </c>
    </row>
    <row r="40" spans="1:13" x14ac:dyDescent="0.2">
      <c r="A40" t="s">
        <v>65</v>
      </c>
      <c r="B40">
        <v>23680</v>
      </c>
      <c r="C40">
        <v>27377</v>
      </c>
      <c r="D40">
        <v>1</v>
      </c>
      <c r="E40">
        <f t="shared" si="0"/>
        <v>23480</v>
      </c>
      <c r="F40">
        <f t="shared" si="1"/>
        <v>27577</v>
      </c>
      <c r="I40">
        <v>23480</v>
      </c>
      <c r="J40">
        <v>27577</v>
      </c>
      <c r="L40" t="s">
        <v>144</v>
      </c>
    </row>
    <row r="41" spans="1:13" x14ac:dyDescent="0.2">
      <c r="A41" t="s">
        <v>66</v>
      </c>
      <c r="B41">
        <v>81269</v>
      </c>
      <c r="C41">
        <v>84965</v>
      </c>
      <c r="D41">
        <v>-1</v>
      </c>
      <c r="E41">
        <f t="shared" si="0"/>
        <v>81069</v>
      </c>
      <c r="F41">
        <f t="shared" si="1"/>
        <v>85165</v>
      </c>
      <c r="I41">
        <v>81069</v>
      </c>
      <c r="J41">
        <v>85165</v>
      </c>
      <c r="L41" t="s">
        <v>144</v>
      </c>
    </row>
    <row r="42" spans="1:13" x14ac:dyDescent="0.2">
      <c r="A42" t="s">
        <v>67</v>
      </c>
      <c r="B42">
        <v>8166</v>
      </c>
      <c r="C42">
        <v>11836</v>
      </c>
      <c r="D42">
        <v>1</v>
      </c>
      <c r="E42">
        <f t="shared" si="0"/>
        <v>7966</v>
      </c>
      <c r="F42">
        <f t="shared" si="1"/>
        <v>12036</v>
      </c>
      <c r="I42">
        <v>7966</v>
      </c>
      <c r="J42">
        <v>12036</v>
      </c>
      <c r="K42" t="s">
        <v>131</v>
      </c>
      <c r="L42" t="s">
        <v>144</v>
      </c>
      <c r="M42" t="s">
        <v>249</v>
      </c>
    </row>
    <row r="43" spans="1:13" x14ac:dyDescent="0.2">
      <c r="A43" t="s">
        <v>68</v>
      </c>
      <c r="B43">
        <v>50730</v>
      </c>
      <c r="C43">
        <v>54228</v>
      </c>
      <c r="D43">
        <v>1</v>
      </c>
      <c r="E43">
        <f t="shared" si="0"/>
        <v>50530</v>
      </c>
      <c r="F43">
        <f t="shared" si="1"/>
        <v>54428</v>
      </c>
      <c r="I43">
        <v>50530</v>
      </c>
      <c r="J43">
        <v>54428</v>
      </c>
      <c r="L43" t="s">
        <v>144</v>
      </c>
    </row>
    <row r="44" spans="1:13" x14ac:dyDescent="0.2">
      <c r="A44" t="s">
        <v>84</v>
      </c>
      <c r="B44">
        <v>1022888</v>
      </c>
      <c r="C44">
        <v>1026575</v>
      </c>
      <c r="D44">
        <v>-1</v>
      </c>
      <c r="E44">
        <f t="shared" si="0"/>
        <v>1022688</v>
      </c>
      <c r="F44">
        <f t="shared" si="1"/>
        <v>1026775</v>
      </c>
      <c r="I44">
        <v>1022688</v>
      </c>
      <c r="J44">
        <v>1026775</v>
      </c>
      <c r="L44" t="s">
        <v>148</v>
      </c>
    </row>
    <row r="45" spans="1:13" x14ac:dyDescent="0.2">
      <c r="A45" t="s">
        <v>86</v>
      </c>
      <c r="B45">
        <v>52593</v>
      </c>
      <c r="C45">
        <v>56224</v>
      </c>
      <c r="D45">
        <v>1</v>
      </c>
      <c r="E45">
        <f t="shared" si="0"/>
        <v>52393</v>
      </c>
      <c r="F45">
        <f t="shared" si="1"/>
        <v>56424</v>
      </c>
      <c r="I45">
        <v>52393</v>
      </c>
      <c r="J45">
        <v>56424</v>
      </c>
      <c r="K45" t="s">
        <v>132</v>
      </c>
      <c r="L45" t="s">
        <v>148</v>
      </c>
      <c r="M45" t="s">
        <v>249</v>
      </c>
    </row>
    <row r="46" spans="1:13" x14ac:dyDescent="0.2">
      <c r="A46" t="s">
        <v>85</v>
      </c>
      <c r="B46">
        <v>154</v>
      </c>
      <c r="C46">
        <v>3820</v>
      </c>
      <c r="D46">
        <v>1</v>
      </c>
      <c r="E46">
        <f t="shared" si="0"/>
        <v>-46</v>
      </c>
      <c r="F46">
        <f t="shared" si="1"/>
        <v>4020</v>
      </c>
      <c r="G46">
        <f t="shared" si="2"/>
        <v>542822</v>
      </c>
      <c r="H46">
        <v>542868</v>
      </c>
      <c r="I46">
        <v>1</v>
      </c>
      <c r="J46">
        <v>4020</v>
      </c>
      <c r="L46" t="s">
        <v>148</v>
      </c>
    </row>
    <row r="47" spans="1:13" x14ac:dyDescent="0.2">
      <c r="A47" t="s">
        <v>69</v>
      </c>
      <c r="B47">
        <v>285719</v>
      </c>
      <c r="C47">
        <v>289302</v>
      </c>
      <c r="D47">
        <v>1</v>
      </c>
      <c r="E47">
        <f t="shared" si="0"/>
        <v>285519</v>
      </c>
      <c r="F47">
        <f t="shared" si="1"/>
        <v>289502</v>
      </c>
      <c r="I47">
        <v>285519</v>
      </c>
      <c r="J47">
        <v>289502</v>
      </c>
      <c r="L47" t="s">
        <v>149</v>
      </c>
    </row>
    <row r="48" spans="1:13" x14ac:dyDescent="0.2">
      <c r="A48" t="s">
        <v>70</v>
      </c>
      <c r="B48">
        <v>1</v>
      </c>
      <c r="C48">
        <v>3992</v>
      </c>
      <c r="D48">
        <v>1</v>
      </c>
      <c r="E48">
        <f t="shared" si="0"/>
        <v>-199</v>
      </c>
      <c r="F48">
        <f t="shared" si="1"/>
        <v>4192</v>
      </c>
      <c r="G48">
        <f t="shared" si="2"/>
        <v>397469</v>
      </c>
      <c r="H48">
        <v>397668</v>
      </c>
      <c r="I48">
        <v>1</v>
      </c>
      <c r="J48">
        <v>4192</v>
      </c>
      <c r="K48" t="s">
        <v>133</v>
      </c>
      <c r="L48" t="s">
        <v>149</v>
      </c>
      <c r="M48" t="s">
        <v>249</v>
      </c>
    </row>
    <row r="49" spans="1:13" x14ac:dyDescent="0.2">
      <c r="A49" t="s">
        <v>22</v>
      </c>
      <c r="B49">
        <v>1</v>
      </c>
      <c r="C49">
        <v>4243</v>
      </c>
      <c r="D49">
        <v>1</v>
      </c>
      <c r="E49">
        <f t="shared" si="0"/>
        <v>-199</v>
      </c>
      <c r="F49">
        <f t="shared" si="1"/>
        <v>4443</v>
      </c>
      <c r="G49">
        <f t="shared" si="2"/>
        <v>1532685</v>
      </c>
      <c r="H49">
        <v>1532884</v>
      </c>
      <c r="I49">
        <v>1</v>
      </c>
      <c r="J49">
        <v>4443</v>
      </c>
      <c r="L49" t="s">
        <v>143</v>
      </c>
    </row>
    <row r="50" spans="1:13" x14ac:dyDescent="0.2">
      <c r="A50" t="s">
        <v>23</v>
      </c>
      <c r="B50">
        <v>1</v>
      </c>
      <c r="C50">
        <v>3618</v>
      </c>
      <c r="D50">
        <v>1</v>
      </c>
      <c r="E50">
        <f t="shared" si="0"/>
        <v>-199</v>
      </c>
      <c r="F50">
        <f t="shared" si="1"/>
        <v>3818</v>
      </c>
      <c r="G50">
        <f t="shared" si="2"/>
        <v>214460</v>
      </c>
      <c r="H50">
        <v>214659</v>
      </c>
      <c r="I50">
        <v>1</v>
      </c>
      <c r="J50">
        <v>3818</v>
      </c>
      <c r="L50" t="s">
        <v>143</v>
      </c>
    </row>
    <row r="51" spans="1:13" x14ac:dyDescent="0.2">
      <c r="A51" t="s">
        <v>25</v>
      </c>
      <c r="B51">
        <v>59525</v>
      </c>
      <c r="C51">
        <v>63675</v>
      </c>
      <c r="D51">
        <v>1</v>
      </c>
      <c r="E51">
        <f t="shared" si="0"/>
        <v>59325</v>
      </c>
      <c r="F51">
        <f t="shared" si="1"/>
        <v>63875</v>
      </c>
      <c r="I51">
        <v>59325</v>
      </c>
      <c r="J51">
        <v>63875</v>
      </c>
      <c r="K51" t="s">
        <v>134</v>
      </c>
      <c r="L51" t="s">
        <v>145</v>
      </c>
      <c r="M51" t="s">
        <v>249</v>
      </c>
    </row>
    <row r="52" spans="1:13" x14ac:dyDescent="0.2">
      <c r="A52" t="s">
        <v>26</v>
      </c>
      <c r="B52">
        <v>1</v>
      </c>
      <c r="C52">
        <v>3899</v>
      </c>
      <c r="D52">
        <v>1</v>
      </c>
      <c r="E52">
        <f t="shared" si="0"/>
        <v>-199</v>
      </c>
      <c r="F52">
        <f t="shared" si="1"/>
        <v>4099</v>
      </c>
      <c r="G52">
        <f t="shared" si="2"/>
        <v>220367</v>
      </c>
      <c r="H52">
        <v>220566</v>
      </c>
      <c r="I52">
        <v>1</v>
      </c>
      <c r="J52">
        <v>4099</v>
      </c>
      <c r="L52" t="s">
        <v>145</v>
      </c>
    </row>
    <row r="53" spans="1:13" x14ac:dyDescent="0.2">
      <c r="A53" t="s">
        <v>26</v>
      </c>
      <c r="B53">
        <v>69295</v>
      </c>
      <c r="C53">
        <v>72965</v>
      </c>
      <c r="D53">
        <v>1</v>
      </c>
      <c r="E53">
        <f t="shared" si="0"/>
        <v>69095</v>
      </c>
      <c r="F53">
        <f t="shared" si="1"/>
        <v>73165</v>
      </c>
      <c r="I53">
        <v>69095</v>
      </c>
      <c r="J53">
        <v>73165</v>
      </c>
      <c r="L53" t="s">
        <v>145</v>
      </c>
    </row>
    <row r="54" spans="1:13" x14ac:dyDescent="0.2">
      <c r="A54" t="s">
        <v>24</v>
      </c>
      <c r="B54">
        <v>710378</v>
      </c>
      <c r="C54">
        <v>714881</v>
      </c>
      <c r="D54">
        <v>1</v>
      </c>
      <c r="E54">
        <f t="shared" si="0"/>
        <v>710178</v>
      </c>
      <c r="F54">
        <f t="shared" si="1"/>
        <v>715081</v>
      </c>
      <c r="I54">
        <v>710178</v>
      </c>
      <c r="J54">
        <v>715081</v>
      </c>
      <c r="L54" t="s">
        <v>145</v>
      </c>
    </row>
    <row r="55" spans="1:13" x14ac:dyDescent="0.2">
      <c r="A55" t="s">
        <v>27</v>
      </c>
      <c r="B55">
        <v>401656</v>
      </c>
      <c r="C55">
        <v>405317</v>
      </c>
      <c r="D55">
        <v>-1</v>
      </c>
      <c r="E55">
        <f t="shared" si="0"/>
        <v>401456</v>
      </c>
      <c r="F55">
        <f t="shared" si="1"/>
        <v>405517</v>
      </c>
      <c r="I55">
        <v>401456</v>
      </c>
      <c r="J55">
        <v>405517</v>
      </c>
      <c r="L55" t="s">
        <v>152</v>
      </c>
    </row>
    <row r="56" spans="1:13" x14ac:dyDescent="0.2">
      <c r="A56" t="s">
        <v>28</v>
      </c>
      <c r="B56">
        <v>245967</v>
      </c>
      <c r="C56">
        <v>249725</v>
      </c>
      <c r="D56">
        <v>-1</v>
      </c>
      <c r="E56">
        <f t="shared" si="0"/>
        <v>245767</v>
      </c>
      <c r="F56">
        <f t="shared" si="1"/>
        <v>249925</v>
      </c>
      <c r="I56">
        <v>245767</v>
      </c>
      <c r="J56">
        <v>249925</v>
      </c>
      <c r="L56" t="s">
        <v>152</v>
      </c>
    </row>
    <row r="57" spans="1:13" x14ac:dyDescent="0.2">
      <c r="A57" t="s">
        <v>29</v>
      </c>
      <c r="B57">
        <v>103502</v>
      </c>
      <c r="C57">
        <v>107045</v>
      </c>
      <c r="D57">
        <v>1</v>
      </c>
      <c r="E57">
        <f t="shared" si="0"/>
        <v>103302</v>
      </c>
      <c r="F57">
        <f t="shared" si="1"/>
        <v>107245</v>
      </c>
      <c r="I57">
        <v>103302</v>
      </c>
      <c r="J57">
        <v>107245</v>
      </c>
      <c r="L57" t="s">
        <v>152</v>
      </c>
    </row>
    <row r="58" spans="1:13" x14ac:dyDescent="0.2">
      <c r="A58" t="s">
        <v>31</v>
      </c>
      <c r="B58">
        <v>129405</v>
      </c>
      <c r="C58">
        <v>133019</v>
      </c>
      <c r="D58">
        <v>1</v>
      </c>
      <c r="E58">
        <f t="shared" si="0"/>
        <v>129205</v>
      </c>
      <c r="F58">
        <f t="shared" si="1"/>
        <v>133219</v>
      </c>
      <c r="I58">
        <v>129205</v>
      </c>
      <c r="J58">
        <v>133219</v>
      </c>
      <c r="L58" t="s">
        <v>145</v>
      </c>
    </row>
    <row r="59" spans="1:13" x14ac:dyDescent="0.2">
      <c r="A59" t="s">
        <v>32</v>
      </c>
      <c r="B59">
        <v>1</v>
      </c>
      <c r="C59">
        <v>3992</v>
      </c>
      <c r="D59">
        <v>1</v>
      </c>
      <c r="E59">
        <f t="shared" si="0"/>
        <v>-199</v>
      </c>
      <c r="F59">
        <f t="shared" si="1"/>
        <v>4192</v>
      </c>
      <c r="G59">
        <f t="shared" si="2"/>
        <v>226526</v>
      </c>
      <c r="H59">
        <v>226725</v>
      </c>
      <c r="I59">
        <v>1</v>
      </c>
      <c r="J59">
        <v>4192</v>
      </c>
      <c r="K59" t="s">
        <v>135</v>
      </c>
      <c r="L59" t="s">
        <v>145</v>
      </c>
      <c r="M59" t="s">
        <v>249</v>
      </c>
    </row>
    <row r="60" spans="1:13" x14ac:dyDescent="0.2">
      <c r="A60" t="s">
        <v>33</v>
      </c>
      <c r="B60">
        <v>24078</v>
      </c>
      <c r="C60">
        <v>27774</v>
      </c>
      <c r="D60">
        <v>-1</v>
      </c>
      <c r="E60">
        <f t="shared" si="0"/>
        <v>23878</v>
      </c>
      <c r="F60">
        <f t="shared" si="1"/>
        <v>27974</v>
      </c>
      <c r="I60">
        <v>23878</v>
      </c>
      <c r="J60">
        <v>27974</v>
      </c>
      <c r="L60" t="s">
        <v>145</v>
      </c>
    </row>
    <row r="61" spans="1:13" x14ac:dyDescent="0.2">
      <c r="A61" t="s">
        <v>30</v>
      </c>
      <c r="B61">
        <v>632245</v>
      </c>
      <c r="C61">
        <v>636850</v>
      </c>
      <c r="D61">
        <v>-1</v>
      </c>
      <c r="E61">
        <f t="shared" si="0"/>
        <v>632045</v>
      </c>
      <c r="F61">
        <f t="shared" si="1"/>
        <v>637050</v>
      </c>
      <c r="I61">
        <v>632045</v>
      </c>
      <c r="J61">
        <v>637050</v>
      </c>
      <c r="L61" t="s">
        <v>145</v>
      </c>
    </row>
    <row r="62" spans="1:13" x14ac:dyDescent="0.2">
      <c r="A62" t="s">
        <v>34</v>
      </c>
      <c r="B62">
        <v>1140238</v>
      </c>
      <c r="C62">
        <v>1143925</v>
      </c>
      <c r="D62">
        <v>-1</v>
      </c>
      <c r="E62">
        <f t="shared" si="0"/>
        <v>1140038</v>
      </c>
      <c r="F62">
        <f t="shared" si="1"/>
        <v>1144125</v>
      </c>
      <c r="I62">
        <v>1140038</v>
      </c>
      <c r="J62">
        <v>1144125</v>
      </c>
      <c r="L62" t="s">
        <v>148</v>
      </c>
    </row>
    <row r="63" spans="1:13" x14ac:dyDescent="0.2">
      <c r="A63" t="s">
        <v>35</v>
      </c>
      <c r="B63">
        <v>49658</v>
      </c>
      <c r="C63">
        <v>52913</v>
      </c>
      <c r="D63">
        <v>-1</v>
      </c>
      <c r="E63">
        <f t="shared" si="0"/>
        <v>49458</v>
      </c>
      <c r="F63">
        <f t="shared" si="1"/>
        <v>53113</v>
      </c>
      <c r="I63">
        <v>49458</v>
      </c>
      <c r="J63">
        <v>53113</v>
      </c>
      <c r="K63" t="s">
        <v>136</v>
      </c>
      <c r="L63" t="s">
        <v>148</v>
      </c>
      <c r="M63" t="s">
        <v>249</v>
      </c>
    </row>
    <row r="64" spans="1:13" x14ac:dyDescent="0.2">
      <c r="A64" t="s">
        <v>71</v>
      </c>
      <c r="B64">
        <v>395768</v>
      </c>
      <c r="C64">
        <v>399384</v>
      </c>
      <c r="D64">
        <v>1</v>
      </c>
      <c r="E64">
        <f t="shared" si="0"/>
        <v>395568</v>
      </c>
      <c r="F64">
        <f t="shared" si="1"/>
        <v>399584</v>
      </c>
      <c r="I64">
        <v>395568</v>
      </c>
      <c r="J64">
        <v>399584</v>
      </c>
      <c r="L64" t="s">
        <v>144</v>
      </c>
    </row>
    <row r="65" spans="1:13" x14ac:dyDescent="0.2">
      <c r="A65" t="s">
        <v>71</v>
      </c>
      <c r="B65">
        <v>499613</v>
      </c>
      <c r="C65">
        <v>503312</v>
      </c>
      <c r="D65">
        <v>1</v>
      </c>
      <c r="E65">
        <f t="shared" si="0"/>
        <v>499413</v>
      </c>
      <c r="F65">
        <f t="shared" si="1"/>
        <v>503512</v>
      </c>
      <c r="I65">
        <v>499413</v>
      </c>
      <c r="J65">
        <v>503512</v>
      </c>
      <c r="L65" t="s">
        <v>144</v>
      </c>
    </row>
    <row r="66" spans="1:13" x14ac:dyDescent="0.2">
      <c r="A66" t="s">
        <v>72</v>
      </c>
      <c r="B66">
        <v>215077</v>
      </c>
      <c r="C66">
        <v>218817</v>
      </c>
      <c r="D66">
        <v>-1</v>
      </c>
      <c r="E66">
        <f t="shared" ref="E66:E119" si="3">$B66-200</f>
        <v>214877</v>
      </c>
      <c r="F66">
        <f t="shared" ref="F66:F119" si="4">$C66+200</f>
        <v>219017</v>
      </c>
      <c r="I66">
        <v>214877</v>
      </c>
      <c r="J66">
        <v>219017</v>
      </c>
      <c r="L66" t="s">
        <v>144</v>
      </c>
    </row>
    <row r="67" spans="1:13" x14ac:dyDescent="0.2">
      <c r="A67" t="s">
        <v>73</v>
      </c>
      <c r="B67">
        <v>19627</v>
      </c>
      <c r="C67">
        <v>23324</v>
      </c>
      <c r="D67">
        <v>-1</v>
      </c>
      <c r="E67">
        <f t="shared" si="3"/>
        <v>19427</v>
      </c>
      <c r="F67">
        <f t="shared" si="4"/>
        <v>23524</v>
      </c>
      <c r="I67">
        <v>19427</v>
      </c>
      <c r="J67">
        <v>23524</v>
      </c>
      <c r="L67" t="s">
        <v>144</v>
      </c>
    </row>
    <row r="68" spans="1:13" x14ac:dyDescent="0.2">
      <c r="A68" t="s">
        <v>74</v>
      </c>
      <c r="B68">
        <v>108539</v>
      </c>
      <c r="C68">
        <v>112269</v>
      </c>
      <c r="D68">
        <v>1</v>
      </c>
      <c r="E68">
        <f t="shared" si="3"/>
        <v>108339</v>
      </c>
      <c r="F68">
        <f t="shared" si="4"/>
        <v>112469</v>
      </c>
      <c r="I68">
        <v>108339</v>
      </c>
      <c r="J68">
        <v>112469</v>
      </c>
      <c r="K68" t="s">
        <v>137</v>
      </c>
      <c r="L68" t="s">
        <v>144</v>
      </c>
      <c r="M68" t="s">
        <v>249</v>
      </c>
    </row>
    <row r="69" spans="1:13" x14ac:dyDescent="0.2">
      <c r="A69" t="s">
        <v>38</v>
      </c>
      <c r="B69">
        <v>19438</v>
      </c>
      <c r="C69">
        <v>23021</v>
      </c>
      <c r="D69">
        <v>1</v>
      </c>
      <c r="E69">
        <f t="shared" si="3"/>
        <v>19238</v>
      </c>
      <c r="F69">
        <f t="shared" si="4"/>
        <v>23221</v>
      </c>
      <c r="I69">
        <v>19238</v>
      </c>
      <c r="J69">
        <v>23221</v>
      </c>
      <c r="L69" t="s">
        <v>149</v>
      </c>
    </row>
    <row r="70" spans="1:13" x14ac:dyDescent="0.2">
      <c r="A70" t="s">
        <v>36</v>
      </c>
      <c r="B70">
        <v>68622</v>
      </c>
      <c r="C70">
        <v>72225</v>
      </c>
      <c r="D70">
        <v>1</v>
      </c>
      <c r="E70">
        <f t="shared" si="3"/>
        <v>68422</v>
      </c>
      <c r="F70">
        <f t="shared" si="4"/>
        <v>72425</v>
      </c>
      <c r="I70">
        <v>68422</v>
      </c>
      <c r="J70">
        <v>72425</v>
      </c>
      <c r="K70" t="s">
        <v>138</v>
      </c>
      <c r="L70" t="s">
        <v>149</v>
      </c>
      <c r="M70" t="s">
        <v>249</v>
      </c>
    </row>
    <row r="71" spans="1:13" x14ac:dyDescent="0.2">
      <c r="A71" t="s">
        <v>37</v>
      </c>
      <c r="B71">
        <v>45870</v>
      </c>
      <c r="C71">
        <v>49539</v>
      </c>
      <c r="D71">
        <v>1</v>
      </c>
      <c r="E71">
        <f t="shared" si="3"/>
        <v>45670</v>
      </c>
      <c r="F71">
        <f t="shared" si="4"/>
        <v>49739</v>
      </c>
      <c r="I71">
        <v>45670</v>
      </c>
      <c r="J71">
        <v>49739</v>
      </c>
      <c r="L71" t="s">
        <v>149</v>
      </c>
    </row>
    <row r="72" spans="1:13" x14ac:dyDescent="0.2">
      <c r="A72" t="s">
        <v>39</v>
      </c>
      <c r="B72">
        <v>1212770</v>
      </c>
      <c r="C72">
        <v>1216457</v>
      </c>
      <c r="D72">
        <v>1</v>
      </c>
      <c r="E72">
        <f t="shared" si="3"/>
        <v>1212570</v>
      </c>
      <c r="F72">
        <f t="shared" si="4"/>
        <v>1216657</v>
      </c>
      <c r="I72">
        <v>1212570</v>
      </c>
      <c r="J72">
        <v>1216657</v>
      </c>
      <c r="L72" t="s">
        <v>148</v>
      </c>
    </row>
    <row r="73" spans="1:13" x14ac:dyDescent="0.2">
      <c r="A73" t="s">
        <v>40</v>
      </c>
      <c r="B73">
        <v>76762</v>
      </c>
      <c r="C73">
        <v>80360</v>
      </c>
      <c r="D73">
        <v>1</v>
      </c>
      <c r="E73">
        <f t="shared" si="3"/>
        <v>76562</v>
      </c>
      <c r="F73">
        <f t="shared" si="4"/>
        <v>80560</v>
      </c>
      <c r="I73">
        <v>76562</v>
      </c>
      <c r="J73">
        <v>80560</v>
      </c>
      <c r="K73" t="s">
        <v>139</v>
      </c>
      <c r="L73" t="s">
        <v>148</v>
      </c>
      <c r="M73" t="s">
        <v>249</v>
      </c>
    </row>
    <row r="74" spans="1:13" x14ac:dyDescent="0.2">
      <c r="A74" t="s">
        <v>41</v>
      </c>
      <c r="B74">
        <v>46862</v>
      </c>
      <c r="C74">
        <v>50564</v>
      </c>
      <c r="D74">
        <v>1</v>
      </c>
      <c r="E74">
        <f t="shared" si="3"/>
        <v>46662</v>
      </c>
      <c r="F74">
        <f t="shared" si="4"/>
        <v>50764</v>
      </c>
      <c r="I74">
        <v>46662</v>
      </c>
      <c r="J74">
        <v>50764</v>
      </c>
      <c r="L74" t="s">
        <v>148</v>
      </c>
    </row>
    <row r="75" spans="1:13" x14ac:dyDescent="0.2">
      <c r="A75" t="s">
        <v>75</v>
      </c>
      <c r="B75">
        <v>1019075</v>
      </c>
      <c r="C75">
        <v>1022759</v>
      </c>
      <c r="D75">
        <v>1</v>
      </c>
      <c r="E75">
        <f t="shared" si="3"/>
        <v>1018875</v>
      </c>
      <c r="F75">
        <f t="shared" si="4"/>
        <v>1022959</v>
      </c>
      <c r="I75">
        <v>1018875</v>
      </c>
      <c r="J75">
        <v>1022959</v>
      </c>
      <c r="L75" t="s">
        <v>148</v>
      </c>
    </row>
    <row r="76" spans="1:13" x14ac:dyDescent="0.2">
      <c r="A76" t="s">
        <v>76</v>
      </c>
      <c r="B76">
        <v>363119</v>
      </c>
      <c r="C76">
        <v>366781</v>
      </c>
      <c r="D76">
        <v>-1</v>
      </c>
      <c r="E76">
        <f t="shared" si="3"/>
        <v>362919</v>
      </c>
      <c r="F76">
        <f t="shared" si="4"/>
        <v>366981</v>
      </c>
      <c r="I76">
        <v>362919</v>
      </c>
      <c r="J76">
        <v>366981</v>
      </c>
      <c r="L76" t="s">
        <v>148</v>
      </c>
    </row>
    <row r="77" spans="1:13" x14ac:dyDescent="0.2">
      <c r="A77" t="s">
        <v>77</v>
      </c>
      <c r="B77">
        <v>233330</v>
      </c>
      <c r="C77">
        <v>236870</v>
      </c>
      <c r="D77">
        <v>-1</v>
      </c>
      <c r="E77">
        <f t="shared" si="3"/>
        <v>233130</v>
      </c>
      <c r="F77">
        <f t="shared" si="4"/>
        <v>237070</v>
      </c>
      <c r="I77">
        <v>233130</v>
      </c>
      <c r="J77">
        <v>237070</v>
      </c>
      <c r="L77" t="s">
        <v>148</v>
      </c>
    </row>
    <row r="78" spans="1:13" x14ac:dyDescent="0.2">
      <c r="A78" t="s">
        <v>78</v>
      </c>
      <c r="B78">
        <v>1</v>
      </c>
      <c r="C78">
        <v>3988</v>
      </c>
      <c r="D78">
        <v>1</v>
      </c>
      <c r="E78">
        <f t="shared" si="3"/>
        <v>-199</v>
      </c>
      <c r="F78">
        <f t="shared" si="4"/>
        <v>4188</v>
      </c>
      <c r="G78">
        <f t="shared" ref="G78:G118" si="5">$H78+E78</f>
        <v>220682</v>
      </c>
      <c r="H78">
        <v>220881</v>
      </c>
      <c r="I78">
        <v>1</v>
      </c>
      <c r="J78">
        <v>4188</v>
      </c>
      <c r="K78" t="s">
        <v>140</v>
      </c>
      <c r="L78" t="s">
        <v>148</v>
      </c>
      <c r="M78" t="s">
        <v>249</v>
      </c>
    </row>
    <row r="79" spans="1:13" x14ac:dyDescent="0.2">
      <c r="A79" t="s">
        <v>79</v>
      </c>
      <c r="B79">
        <v>73452</v>
      </c>
      <c r="C79">
        <v>77069</v>
      </c>
      <c r="D79">
        <v>-1</v>
      </c>
      <c r="E79">
        <f t="shared" si="3"/>
        <v>73252</v>
      </c>
      <c r="F79">
        <f t="shared" si="4"/>
        <v>77269</v>
      </c>
      <c r="I79">
        <v>73252</v>
      </c>
      <c r="J79">
        <v>77269</v>
      </c>
      <c r="L79" t="s">
        <v>148</v>
      </c>
    </row>
    <row r="80" spans="1:13" x14ac:dyDescent="0.2">
      <c r="A80" t="s">
        <v>80</v>
      </c>
      <c r="B80">
        <v>78927</v>
      </c>
      <c r="C80">
        <v>82548</v>
      </c>
      <c r="D80">
        <v>-1</v>
      </c>
      <c r="E80">
        <f t="shared" si="3"/>
        <v>78727</v>
      </c>
      <c r="F80">
        <f t="shared" si="4"/>
        <v>82748</v>
      </c>
      <c r="I80">
        <v>78727</v>
      </c>
      <c r="J80">
        <v>82748</v>
      </c>
      <c r="L80" t="s">
        <v>148</v>
      </c>
    </row>
    <row r="81" spans="1:13" x14ac:dyDescent="0.2">
      <c r="A81" t="s">
        <v>42</v>
      </c>
      <c r="B81">
        <v>35961</v>
      </c>
      <c r="C81">
        <v>39711</v>
      </c>
      <c r="D81">
        <v>1</v>
      </c>
      <c r="E81">
        <f t="shared" si="3"/>
        <v>35761</v>
      </c>
      <c r="F81">
        <f t="shared" si="4"/>
        <v>39911</v>
      </c>
      <c r="I81">
        <v>35761</v>
      </c>
      <c r="J81">
        <v>39911</v>
      </c>
      <c r="L81" t="s">
        <v>120</v>
      </c>
      <c r="M81" t="s">
        <v>250</v>
      </c>
    </row>
    <row r="82" spans="1:13" x14ac:dyDescent="0.2">
      <c r="A82" t="s">
        <v>42</v>
      </c>
      <c r="B82">
        <v>190505</v>
      </c>
      <c r="C82">
        <v>194229</v>
      </c>
      <c r="D82">
        <v>1</v>
      </c>
      <c r="E82">
        <f t="shared" si="3"/>
        <v>190305</v>
      </c>
      <c r="F82">
        <f t="shared" si="4"/>
        <v>194429</v>
      </c>
      <c r="I82">
        <v>190305</v>
      </c>
      <c r="J82">
        <v>194429</v>
      </c>
      <c r="K82" t="s">
        <v>141</v>
      </c>
      <c r="L82" t="s">
        <v>120</v>
      </c>
      <c r="M82" t="s">
        <v>250</v>
      </c>
    </row>
    <row r="83" spans="1:13" x14ac:dyDescent="0.2">
      <c r="A83" t="s">
        <v>43</v>
      </c>
      <c r="B83">
        <v>180590</v>
      </c>
      <c r="C83">
        <v>184338</v>
      </c>
      <c r="D83">
        <v>1</v>
      </c>
      <c r="E83">
        <f t="shared" si="3"/>
        <v>180390</v>
      </c>
      <c r="F83">
        <f t="shared" si="4"/>
        <v>184538</v>
      </c>
      <c r="I83">
        <v>180390</v>
      </c>
      <c r="J83">
        <v>184538</v>
      </c>
      <c r="L83" t="s">
        <v>120</v>
      </c>
      <c r="M83" t="s">
        <v>250</v>
      </c>
    </row>
    <row r="84" spans="1:13" x14ac:dyDescent="0.2">
      <c r="A84" t="s">
        <v>44</v>
      </c>
      <c r="B84">
        <v>247241</v>
      </c>
      <c r="C84">
        <v>250948</v>
      </c>
      <c r="D84">
        <v>1</v>
      </c>
      <c r="E84">
        <f t="shared" si="3"/>
        <v>247041</v>
      </c>
      <c r="F84">
        <f t="shared" si="4"/>
        <v>251148</v>
      </c>
      <c r="I84">
        <v>247041</v>
      </c>
      <c r="J84">
        <v>251148</v>
      </c>
      <c r="L84" t="s">
        <v>120</v>
      </c>
      <c r="M84" t="s">
        <v>250</v>
      </c>
    </row>
    <row r="85" spans="1:13" x14ac:dyDescent="0.2">
      <c r="A85" t="s">
        <v>46</v>
      </c>
      <c r="B85">
        <v>501777</v>
      </c>
      <c r="C85">
        <v>505334</v>
      </c>
      <c r="D85">
        <v>1</v>
      </c>
      <c r="E85">
        <f t="shared" si="3"/>
        <v>501577</v>
      </c>
      <c r="F85">
        <f t="shared" si="4"/>
        <v>505534</v>
      </c>
      <c r="I85">
        <v>501577</v>
      </c>
      <c r="J85">
        <v>505534</v>
      </c>
      <c r="L85" t="s">
        <v>120</v>
      </c>
      <c r="M85" t="s">
        <v>250</v>
      </c>
    </row>
    <row r="86" spans="1:13" x14ac:dyDescent="0.2">
      <c r="A86" t="s">
        <v>47</v>
      </c>
      <c r="B86">
        <v>223367</v>
      </c>
      <c r="C86">
        <v>227022</v>
      </c>
      <c r="D86">
        <v>-1</v>
      </c>
      <c r="E86">
        <f t="shared" si="3"/>
        <v>223167</v>
      </c>
      <c r="F86">
        <f t="shared" si="4"/>
        <v>227222</v>
      </c>
      <c r="I86">
        <v>223167</v>
      </c>
      <c r="J86">
        <v>227222</v>
      </c>
      <c r="L86" t="s">
        <v>120</v>
      </c>
      <c r="M86" t="s">
        <v>250</v>
      </c>
    </row>
    <row r="87" spans="1:13" x14ac:dyDescent="0.2">
      <c r="A87" t="s">
        <v>47</v>
      </c>
      <c r="B87">
        <v>638772</v>
      </c>
      <c r="C87">
        <v>642517</v>
      </c>
      <c r="D87">
        <v>1</v>
      </c>
      <c r="E87">
        <f t="shared" si="3"/>
        <v>638572</v>
      </c>
      <c r="F87">
        <f t="shared" si="4"/>
        <v>642717</v>
      </c>
      <c r="I87">
        <v>638572</v>
      </c>
      <c r="J87">
        <v>642717</v>
      </c>
      <c r="L87" t="s">
        <v>120</v>
      </c>
      <c r="M87" t="s">
        <v>250</v>
      </c>
    </row>
    <row r="88" spans="1:13" x14ac:dyDescent="0.2">
      <c r="A88" t="s">
        <v>45</v>
      </c>
      <c r="B88">
        <v>367654</v>
      </c>
      <c r="C88">
        <v>371254</v>
      </c>
      <c r="D88">
        <v>1</v>
      </c>
      <c r="E88">
        <f t="shared" si="3"/>
        <v>367454</v>
      </c>
      <c r="F88">
        <f t="shared" si="4"/>
        <v>371454</v>
      </c>
      <c r="I88">
        <v>367454</v>
      </c>
      <c r="J88">
        <v>371454</v>
      </c>
      <c r="L88" t="s">
        <v>120</v>
      </c>
      <c r="M88" t="s">
        <v>250</v>
      </c>
    </row>
    <row r="89" spans="1:13" x14ac:dyDescent="0.2">
      <c r="A89" t="s">
        <v>81</v>
      </c>
      <c r="B89">
        <v>1098682</v>
      </c>
      <c r="C89">
        <v>1102366</v>
      </c>
      <c r="D89">
        <v>-1</v>
      </c>
      <c r="E89">
        <f t="shared" si="3"/>
        <v>1098482</v>
      </c>
      <c r="F89">
        <f t="shared" si="4"/>
        <v>1102566</v>
      </c>
      <c r="I89">
        <v>1098482</v>
      </c>
      <c r="J89">
        <v>1102566</v>
      </c>
      <c r="L89" t="s">
        <v>148</v>
      </c>
    </row>
    <row r="90" spans="1:13" x14ac:dyDescent="0.2">
      <c r="A90" t="s">
        <v>82</v>
      </c>
      <c r="B90">
        <v>182030</v>
      </c>
      <c r="C90">
        <v>185713</v>
      </c>
      <c r="D90">
        <v>-1</v>
      </c>
      <c r="E90">
        <f t="shared" si="3"/>
        <v>181830</v>
      </c>
      <c r="F90">
        <f t="shared" si="4"/>
        <v>185913</v>
      </c>
      <c r="I90">
        <v>181830</v>
      </c>
      <c r="J90">
        <v>185913</v>
      </c>
      <c r="K90" t="s">
        <v>119</v>
      </c>
      <c r="L90" t="s">
        <v>148</v>
      </c>
      <c r="M90" t="s">
        <v>249</v>
      </c>
    </row>
    <row r="91" spans="1:13" x14ac:dyDescent="0.2">
      <c r="A91" t="s">
        <v>83</v>
      </c>
      <c r="B91">
        <v>141132</v>
      </c>
      <c r="C91">
        <v>144794</v>
      </c>
      <c r="D91">
        <v>1</v>
      </c>
      <c r="E91">
        <f t="shared" si="3"/>
        <v>140932</v>
      </c>
      <c r="F91">
        <f t="shared" si="4"/>
        <v>144994</v>
      </c>
      <c r="I91">
        <v>140932</v>
      </c>
      <c r="J91">
        <v>144994</v>
      </c>
      <c r="L91" t="s">
        <v>148</v>
      </c>
    </row>
    <row r="92" spans="1:13" x14ac:dyDescent="0.2">
      <c r="A92" t="s">
        <v>49</v>
      </c>
      <c r="B92">
        <v>245</v>
      </c>
      <c r="C92">
        <v>3919</v>
      </c>
      <c r="D92">
        <v>1</v>
      </c>
      <c r="E92">
        <f t="shared" si="3"/>
        <v>45</v>
      </c>
      <c r="F92">
        <f t="shared" si="4"/>
        <v>4119</v>
      </c>
      <c r="I92">
        <v>1</v>
      </c>
      <c r="J92">
        <v>4119</v>
      </c>
      <c r="L92" t="s">
        <v>117</v>
      </c>
      <c r="M92" t="s">
        <v>249</v>
      </c>
    </row>
    <row r="93" spans="1:13" x14ac:dyDescent="0.2">
      <c r="A93" t="s">
        <v>48</v>
      </c>
      <c r="B93">
        <v>101</v>
      </c>
      <c r="C93">
        <v>3730</v>
      </c>
      <c r="D93">
        <v>1</v>
      </c>
      <c r="E93">
        <f t="shared" si="3"/>
        <v>-99</v>
      </c>
      <c r="F93">
        <f t="shared" si="4"/>
        <v>3930</v>
      </c>
      <c r="I93">
        <v>101</v>
      </c>
      <c r="J93">
        <v>3930</v>
      </c>
      <c r="L93" t="s">
        <v>117</v>
      </c>
      <c r="M93" t="s">
        <v>249</v>
      </c>
    </row>
    <row r="94" spans="1:13" x14ac:dyDescent="0.2">
      <c r="A94" t="s">
        <v>52</v>
      </c>
      <c r="B94">
        <v>48525</v>
      </c>
      <c r="C94">
        <v>52108</v>
      </c>
      <c r="D94">
        <v>-1</v>
      </c>
      <c r="E94">
        <f t="shared" si="3"/>
        <v>48325</v>
      </c>
      <c r="F94">
        <f t="shared" si="4"/>
        <v>52308</v>
      </c>
      <c r="I94">
        <v>48325</v>
      </c>
      <c r="J94">
        <v>52308</v>
      </c>
      <c r="L94" t="s">
        <v>149</v>
      </c>
    </row>
    <row r="95" spans="1:13" x14ac:dyDescent="0.2">
      <c r="A95" t="s">
        <v>50</v>
      </c>
      <c r="B95">
        <v>39479</v>
      </c>
      <c r="C95">
        <v>43082</v>
      </c>
      <c r="D95">
        <v>1</v>
      </c>
      <c r="E95">
        <f t="shared" si="3"/>
        <v>39279</v>
      </c>
      <c r="F95">
        <f t="shared" si="4"/>
        <v>43282</v>
      </c>
      <c r="I95">
        <v>39279</v>
      </c>
      <c r="J95">
        <v>43282</v>
      </c>
      <c r="K95" t="s">
        <v>142</v>
      </c>
      <c r="L95" t="s">
        <v>149</v>
      </c>
      <c r="M95" t="s">
        <v>249</v>
      </c>
    </row>
    <row r="96" spans="1:13" x14ac:dyDescent="0.2">
      <c r="A96" t="s">
        <v>51</v>
      </c>
      <c r="B96">
        <v>32383</v>
      </c>
      <c r="C96">
        <v>36053</v>
      </c>
      <c r="D96">
        <v>1</v>
      </c>
      <c r="E96">
        <f t="shared" si="3"/>
        <v>32183</v>
      </c>
      <c r="F96">
        <f t="shared" si="4"/>
        <v>36253</v>
      </c>
      <c r="I96">
        <v>32183</v>
      </c>
      <c r="J96">
        <v>36253</v>
      </c>
      <c r="L96" t="s">
        <v>149</v>
      </c>
    </row>
    <row r="97" spans="1:13" x14ac:dyDescent="0.2">
      <c r="A97" t="s">
        <v>92</v>
      </c>
      <c r="B97">
        <v>139281</v>
      </c>
      <c r="C97">
        <v>142901</v>
      </c>
      <c r="D97">
        <v>1</v>
      </c>
      <c r="E97">
        <f t="shared" si="3"/>
        <v>139081</v>
      </c>
      <c r="F97">
        <f t="shared" si="4"/>
        <v>143101</v>
      </c>
      <c r="I97">
        <v>139081</v>
      </c>
      <c r="J97">
        <v>143101</v>
      </c>
      <c r="L97" t="s">
        <v>116</v>
      </c>
    </row>
    <row r="98" spans="1:13" x14ac:dyDescent="0.2">
      <c r="A98" t="s">
        <v>93</v>
      </c>
      <c r="B98">
        <v>324344</v>
      </c>
      <c r="C98">
        <v>328001</v>
      </c>
      <c r="D98">
        <v>1</v>
      </c>
      <c r="E98">
        <f t="shared" si="3"/>
        <v>324144</v>
      </c>
      <c r="F98">
        <f t="shared" si="4"/>
        <v>328201</v>
      </c>
      <c r="I98">
        <v>324144</v>
      </c>
      <c r="J98">
        <v>328201</v>
      </c>
      <c r="L98" t="s">
        <v>116</v>
      </c>
    </row>
    <row r="99" spans="1:13" x14ac:dyDescent="0.2">
      <c r="A99" t="s">
        <v>94</v>
      </c>
      <c r="B99">
        <v>91999</v>
      </c>
      <c r="C99">
        <v>95556</v>
      </c>
      <c r="D99">
        <v>1</v>
      </c>
      <c r="E99">
        <f t="shared" si="3"/>
        <v>91799</v>
      </c>
      <c r="F99">
        <f t="shared" si="4"/>
        <v>95756</v>
      </c>
      <c r="I99">
        <v>91799</v>
      </c>
      <c r="J99">
        <v>95756</v>
      </c>
      <c r="L99" t="s">
        <v>116</v>
      </c>
    </row>
    <row r="100" spans="1:13" x14ac:dyDescent="0.2">
      <c r="A100" t="s">
        <v>95</v>
      </c>
      <c r="B100">
        <v>521576</v>
      </c>
      <c r="C100">
        <v>525286</v>
      </c>
      <c r="D100">
        <v>1</v>
      </c>
      <c r="E100">
        <f t="shared" si="3"/>
        <v>521376</v>
      </c>
      <c r="F100">
        <f t="shared" si="4"/>
        <v>525486</v>
      </c>
      <c r="I100">
        <v>521376</v>
      </c>
      <c r="J100">
        <v>525486</v>
      </c>
      <c r="L100" t="s">
        <v>116</v>
      </c>
    </row>
    <row r="101" spans="1:13" x14ac:dyDescent="0.2">
      <c r="A101" t="s">
        <v>87</v>
      </c>
      <c r="B101">
        <v>1</v>
      </c>
      <c r="C101">
        <v>3659</v>
      </c>
      <c r="D101">
        <v>1</v>
      </c>
      <c r="E101">
        <f t="shared" si="3"/>
        <v>-199</v>
      </c>
      <c r="F101">
        <f t="shared" si="4"/>
        <v>3859</v>
      </c>
      <c r="G101">
        <f t="shared" si="5"/>
        <v>987548</v>
      </c>
      <c r="H101">
        <v>987747</v>
      </c>
      <c r="I101">
        <v>1</v>
      </c>
      <c r="J101">
        <v>3859</v>
      </c>
      <c r="L101" t="s">
        <v>116</v>
      </c>
      <c r="M101" t="s">
        <v>249</v>
      </c>
    </row>
    <row r="102" spans="1:13" x14ac:dyDescent="0.2">
      <c r="A102" t="s">
        <v>88</v>
      </c>
      <c r="B102">
        <v>1</v>
      </c>
      <c r="C102">
        <v>3529</v>
      </c>
      <c r="D102">
        <v>1</v>
      </c>
      <c r="E102">
        <f t="shared" si="3"/>
        <v>-199</v>
      </c>
      <c r="F102">
        <f t="shared" si="4"/>
        <v>3729</v>
      </c>
      <c r="G102">
        <f t="shared" si="5"/>
        <v>584236</v>
      </c>
      <c r="H102">
        <v>584435</v>
      </c>
      <c r="I102">
        <v>1</v>
      </c>
      <c r="J102">
        <v>3729</v>
      </c>
      <c r="L102" t="s">
        <v>116</v>
      </c>
      <c r="M102" t="s">
        <v>249</v>
      </c>
    </row>
    <row r="103" spans="1:13" x14ac:dyDescent="0.2">
      <c r="A103" t="s">
        <v>89</v>
      </c>
      <c r="B103">
        <v>1</v>
      </c>
      <c r="C103">
        <v>3714</v>
      </c>
      <c r="D103">
        <v>1</v>
      </c>
      <c r="E103">
        <f t="shared" si="3"/>
        <v>-199</v>
      </c>
      <c r="F103">
        <f t="shared" si="4"/>
        <v>3914</v>
      </c>
      <c r="G103">
        <f t="shared" si="5"/>
        <v>293178</v>
      </c>
      <c r="H103">
        <v>293377</v>
      </c>
      <c r="I103">
        <v>1</v>
      </c>
      <c r="J103">
        <v>3914</v>
      </c>
      <c r="L103" t="s">
        <v>116</v>
      </c>
      <c r="M103" t="s">
        <v>249</v>
      </c>
    </row>
    <row r="104" spans="1:13" x14ac:dyDescent="0.2">
      <c r="A104" t="s">
        <v>90</v>
      </c>
      <c r="B104">
        <v>1</v>
      </c>
      <c r="C104">
        <v>3712</v>
      </c>
      <c r="D104">
        <v>1</v>
      </c>
      <c r="E104">
        <f t="shared" si="3"/>
        <v>-199</v>
      </c>
      <c r="F104">
        <f t="shared" si="4"/>
        <v>3912</v>
      </c>
      <c r="G104">
        <f t="shared" si="5"/>
        <v>266110</v>
      </c>
      <c r="H104">
        <v>266309</v>
      </c>
      <c r="I104">
        <v>1</v>
      </c>
      <c r="J104">
        <v>3912</v>
      </c>
      <c r="L104" t="s">
        <v>116</v>
      </c>
      <c r="M104" t="s">
        <v>249</v>
      </c>
    </row>
    <row r="105" spans="1:13" x14ac:dyDescent="0.2">
      <c r="A105" t="s">
        <v>91</v>
      </c>
      <c r="B105">
        <v>35689</v>
      </c>
      <c r="C105">
        <v>39309</v>
      </c>
      <c r="D105">
        <v>-1</v>
      </c>
      <c r="E105">
        <f t="shared" si="3"/>
        <v>35489</v>
      </c>
      <c r="F105">
        <f t="shared" si="4"/>
        <v>39509</v>
      </c>
      <c r="I105">
        <v>35489</v>
      </c>
      <c r="J105">
        <v>39509</v>
      </c>
      <c r="L105" t="s">
        <v>116</v>
      </c>
      <c r="M105" t="s">
        <v>249</v>
      </c>
    </row>
    <row r="106" spans="1:13" x14ac:dyDescent="0.2">
      <c r="A106" t="s">
        <v>96</v>
      </c>
      <c r="B106">
        <v>13695</v>
      </c>
      <c r="C106">
        <v>17423</v>
      </c>
      <c r="D106">
        <v>1</v>
      </c>
      <c r="E106">
        <f t="shared" si="3"/>
        <v>13495</v>
      </c>
      <c r="F106">
        <f t="shared" si="4"/>
        <v>17623</v>
      </c>
      <c r="I106">
        <v>13495</v>
      </c>
      <c r="J106">
        <v>17623</v>
      </c>
      <c r="L106" t="s">
        <v>116</v>
      </c>
    </row>
    <row r="107" spans="1:13" x14ac:dyDescent="0.2">
      <c r="A107" t="s">
        <v>97</v>
      </c>
      <c r="B107">
        <v>217462</v>
      </c>
      <c r="C107">
        <v>221208</v>
      </c>
      <c r="D107">
        <v>-1</v>
      </c>
      <c r="E107">
        <f t="shared" si="3"/>
        <v>217262</v>
      </c>
      <c r="F107">
        <f t="shared" si="4"/>
        <v>221408</v>
      </c>
      <c r="I107">
        <v>217262</v>
      </c>
      <c r="J107">
        <v>221408</v>
      </c>
      <c r="L107" t="s">
        <v>116</v>
      </c>
    </row>
    <row r="108" spans="1:13" x14ac:dyDescent="0.2">
      <c r="A108" t="s">
        <v>98</v>
      </c>
      <c r="B108">
        <v>46506</v>
      </c>
      <c r="C108">
        <v>50064</v>
      </c>
      <c r="D108">
        <v>1</v>
      </c>
      <c r="E108">
        <f t="shared" si="3"/>
        <v>46306</v>
      </c>
      <c r="F108">
        <f t="shared" si="4"/>
        <v>50264</v>
      </c>
      <c r="I108">
        <v>46306</v>
      </c>
      <c r="J108">
        <v>50264</v>
      </c>
      <c r="L108" t="s">
        <v>116</v>
      </c>
    </row>
    <row r="109" spans="1:13" x14ac:dyDescent="0.2">
      <c r="A109" t="s">
        <v>99</v>
      </c>
      <c r="B109">
        <v>356825</v>
      </c>
      <c r="C109">
        <v>360482</v>
      </c>
      <c r="D109">
        <v>-1</v>
      </c>
      <c r="E109">
        <f t="shared" si="3"/>
        <v>356625</v>
      </c>
      <c r="F109">
        <f t="shared" si="4"/>
        <v>360682</v>
      </c>
      <c r="I109">
        <v>356625</v>
      </c>
      <c r="J109">
        <v>360682</v>
      </c>
      <c r="L109" t="s">
        <v>116</v>
      </c>
    </row>
    <row r="110" spans="1:13" x14ac:dyDescent="0.2">
      <c r="A110" t="s">
        <v>100</v>
      </c>
      <c r="B110">
        <v>1</v>
      </c>
      <c r="C110">
        <v>3658</v>
      </c>
      <c r="D110">
        <v>1</v>
      </c>
      <c r="E110">
        <f t="shared" si="3"/>
        <v>-199</v>
      </c>
      <c r="F110">
        <f t="shared" si="4"/>
        <v>3858</v>
      </c>
      <c r="G110">
        <f t="shared" si="5"/>
        <v>754471</v>
      </c>
      <c r="H110">
        <v>754670</v>
      </c>
      <c r="I110">
        <v>1</v>
      </c>
      <c r="J110">
        <v>3858</v>
      </c>
      <c r="L110" t="s">
        <v>116</v>
      </c>
    </row>
    <row r="111" spans="1:13" x14ac:dyDescent="0.2">
      <c r="A111" t="s">
        <v>101</v>
      </c>
      <c r="B111">
        <v>1</v>
      </c>
      <c r="C111">
        <v>3528</v>
      </c>
      <c r="D111">
        <v>1</v>
      </c>
      <c r="E111">
        <f t="shared" si="3"/>
        <v>-199</v>
      </c>
      <c r="F111">
        <f t="shared" si="4"/>
        <v>3728</v>
      </c>
      <c r="G111">
        <f t="shared" si="5"/>
        <v>728569</v>
      </c>
      <c r="H111">
        <v>728768</v>
      </c>
      <c r="I111">
        <v>1</v>
      </c>
      <c r="J111">
        <v>3728</v>
      </c>
      <c r="L111" t="s">
        <v>116</v>
      </c>
    </row>
    <row r="112" spans="1:13" x14ac:dyDescent="0.2">
      <c r="A112" t="s">
        <v>102</v>
      </c>
      <c r="B112">
        <v>1</v>
      </c>
      <c r="C112">
        <v>3711</v>
      </c>
      <c r="D112">
        <v>1</v>
      </c>
      <c r="E112">
        <f t="shared" si="3"/>
        <v>-199</v>
      </c>
      <c r="F112">
        <f t="shared" si="4"/>
        <v>3911</v>
      </c>
      <c r="G112">
        <f t="shared" si="5"/>
        <v>655944</v>
      </c>
      <c r="H112">
        <v>656143</v>
      </c>
      <c r="I112">
        <v>1</v>
      </c>
      <c r="J112">
        <v>3911</v>
      </c>
      <c r="L112" t="s">
        <v>116</v>
      </c>
    </row>
    <row r="113" spans="1:12" x14ac:dyDescent="0.2">
      <c r="A113" t="s">
        <v>103</v>
      </c>
      <c r="B113">
        <v>1</v>
      </c>
      <c r="C113">
        <v>3747</v>
      </c>
      <c r="D113">
        <v>1</v>
      </c>
      <c r="E113">
        <f t="shared" si="3"/>
        <v>-199</v>
      </c>
      <c r="F113">
        <f t="shared" si="4"/>
        <v>3947</v>
      </c>
      <c r="G113">
        <f t="shared" si="5"/>
        <v>520490</v>
      </c>
      <c r="H113">
        <v>520689</v>
      </c>
      <c r="I113">
        <v>1</v>
      </c>
      <c r="J113">
        <v>3947</v>
      </c>
      <c r="L113" t="s">
        <v>116</v>
      </c>
    </row>
    <row r="114" spans="1:12" x14ac:dyDescent="0.2">
      <c r="A114" t="s">
        <v>104</v>
      </c>
      <c r="B114">
        <v>1</v>
      </c>
      <c r="C114">
        <v>3659</v>
      </c>
      <c r="D114">
        <v>1</v>
      </c>
      <c r="E114">
        <f t="shared" si="3"/>
        <v>-199</v>
      </c>
      <c r="F114">
        <f t="shared" si="4"/>
        <v>3859</v>
      </c>
      <c r="G114">
        <f t="shared" si="5"/>
        <v>924532</v>
      </c>
      <c r="H114">
        <v>924731</v>
      </c>
      <c r="I114">
        <v>1</v>
      </c>
      <c r="J114">
        <v>3859</v>
      </c>
      <c r="L114" t="s">
        <v>116</v>
      </c>
    </row>
    <row r="115" spans="1:12" x14ac:dyDescent="0.2">
      <c r="A115" t="s">
        <v>105</v>
      </c>
      <c r="B115">
        <v>1</v>
      </c>
      <c r="C115">
        <v>3528</v>
      </c>
      <c r="D115">
        <v>1</v>
      </c>
      <c r="E115">
        <f t="shared" si="3"/>
        <v>-199</v>
      </c>
      <c r="F115">
        <f t="shared" si="4"/>
        <v>3728</v>
      </c>
      <c r="G115">
        <f t="shared" si="5"/>
        <v>678976</v>
      </c>
      <c r="H115">
        <v>679175</v>
      </c>
      <c r="I115">
        <v>1</v>
      </c>
      <c r="J115">
        <v>3728</v>
      </c>
      <c r="L115" t="s">
        <v>116</v>
      </c>
    </row>
    <row r="116" spans="1:12" x14ac:dyDescent="0.2">
      <c r="A116" t="s">
        <v>106</v>
      </c>
      <c r="B116">
        <v>1</v>
      </c>
      <c r="C116">
        <v>3711</v>
      </c>
      <c r="D116">
        <v>1</v>
      </c>
      <c r="E116">
        <f t="shared" si="3"/>
        <v>-199</v>
      </c>
      <c r="F116">
        <f t="shared" si="4"/>
        <v>3911</v>
      </c>
      <c r="G116">
        <f t="shared" si="5"/>
        <v>455459</v>
      </c>
      <c r="H116">
        <v>455658</v>
      </c>
      <c r="I116">
        <v>1</v>
      </c>
      <c r="J116">
        <v>3911</v>
      </c>
      <c r="L116" t="s">
        <v>116</v>
      </c>
    </row>
    <row r="117" spans="1:12" x14ac:dyDescent="0.2">
      <c r="A117" t="s">
        <v>107</v>
      </c>
      <c r="B117">
        <v>1</v>
      </c>
      <c r="C117">
        <v>3713</v>
      </c>
      <c r="D117">
        <v>1</v>
      </c>
      <c r="E117">
        <f t="shared" si="3"/>
        <v>-199</v>
      </c>
      <c r="F117">
        <f t="shared" si="4"/>
        <v>3913</v>
      </c>
      <c r="G117">
        <f t="shared" si="5"/>
        <v>392472</v>
      </c>
      <c r="H117">
        <v>392671</v>
      </c>
      <c r="I117">
        <v>1</v>
      </c>
      <c r="J117">
        <v>3913</v>
      </c>
      <c r="L117" t="s">
        <v>116</v>
      </c>
    </row>
    <row r="118" spans="1:12" x14ac:dyDescent="0.2">
      <c r="A118" t="s">
        <v>108</v>
      </c>
      <c r="B118">
        <v>1</v>
      </c>
      <c r="C118">
        <v>3607</v>
      </c>
      <c r="D118">
        <v>1</v>
      </c>
      <c r="E118">
        <f t="shared" si="3"/>
        <v>-199</v>
      </c>
      <c r="F118">
        <f t="shared" si="4"/>
        <v>3807</v>
      </c>
      <c r="G118">
        <f t="shared" si="5"/>
        <v>386534</v>
      </c>
      <c r="H118">
        <v>386733</v>
      </c>
      <c r="I118">
        <v>1</v>
      </c>
      <c r="J118">
        <v>3807</v>
      </c>
      <c r="L118" t="s">
        <v>116</v>
      </c>
    </row>
    <row r="119" spans="1:12" x14ac:dyDescent="0.2">
      <c r="A119" t="s">
        <v>108</v>
      </c>
      <c r="B119">
        <v>357763</v>
      </c>
      <c r="C119">
        <v>361377</v>
      </c>
      <c r="D119">
        <v>1</v>
      </c>
      <c r="E119">
        <f t="shared" si="3"/>
        <v>357563</v>
      </c>
      <c r="F119">
        <f t="shared" si="4"/>
        <v>361577</v>
      </c>
      <c r="I119">
        <v>357563</v>
      </c>
      <c r="J119">
        <v>361577</v>
      </c>
      <c r="L119" t="s">
        <v>116</v>
      </c>
    </row>
  </sheetData>
  <sortState xmlns:xlrd2="http://schemas.microsoft.com/office/spreadsheetml/2017/richdata2" ref="A2:F414">
    <sortCondition ref="A2:A414"/>
    <sortCondition ref="B2:B4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0EF2-82D7-FD4B-A7BF-3433E6A2B6CA}">
  <dimension ref="A1:H119"/>
  <sheetViews>
    <sheetView topLeftCell="A69" zoomScale="173" workbookViewId="0">
      <selection activeCell="G93" sqref="G93"/>
    </sheetView>
  </sheetViews>
  <sheetFormatPr baseColWidth="10" defaultRowHeight="16" x14ac:dyDescent="0.2"/>
  <cols>
    <col min="1" max="1" width="29.1640625" bestFit="1" customWidth="1"/>
    <col min="2" max="2" width="21.6640625" bestFit="1" customWidth="1"/>
    <col min="8" max="8" width="57.6640625" bestFit="1" customWidth="1"/>
  </cols>
  <sheetData>
    <row r="1" spans="1:8" x14ac:dyDescent="0.2">
      <c r="A1" t="s">
        <v>212</v>
      </c>
      <c r="B1" t="s">
        <v>213</v>
      </c>
      <c r="C1" t="s">
        <v>161</v>
      </c>
      <c r="D1" t="s">
        <v>157</v>
      </c>
      <c r="E1" t="s">
        <v>160</v>
      </c>
      <c r="F1" t="s">
        <v>158</v>
      </c>
      <c r="G1" t="s">
        <v>159</v>
      </c>
      <c r="H1" t="s">
        <v>162</v>
      </c>
    </row>
    <row r="2" spans="1:8" x14ac:dyDescent="0.2">
      <c r="A2" t="s">
        <v>214</v>
      </c>
      <c r="B2" t="s">
        <v>163</v>
      </c>
      <c r="C2">
        <v>-1</v>
      </c>
      <c r="D2">
        <v>1138401</v>
      </c>
      <c r="E2">
        <v>1142485</v>
      </c>
    </row>
    <row r="3" spans="1:8" x14ac:dyDescent="0.2">
      <c r="A3" t="s">
        <v>214</v>
      </c>
      <c r="B3" t="s">
        <v>164</v>
      </c>
      <c r="C3">
        <v>1</v>
      </c>
      <c r="D3">
        <v>1</v>
      </c>
      <c r="E3">
        <v>3923</v>
      </c>
      <c r="F3">
        <v>659031</v>
      </c>
      <c r="G3">
        <v>659230</v>
      </c>
    </row>
    <row r="4" spans="1:8" x14ac:dyDescent="0.2">
      <c r="A4" t="s">
        <v>214</v>
      </c>
      <c r="B4" t="s">
        <v>165</v>
      </c>
      <c r="C4">
        <v>1</v>
      </c>
      <c r="D4">
        <v>1</v>
      </c>
      <c r="E4">
        <v>3871</v>
      </c>
      <c r="F4">
        <v>126656</v>
      </c>
      <c r="G4">
        <v>126855</v>
      </c>
    </row>
    <row r="5" spans="1:8" x14ac:dyDescent="0.2">
      <c r="A5" t="s">
        <v>214</v>
      </c>
      <c r="B5" t="s">
        <v>166</v>
      </c>
      <c r="C5">
        <v>1</v>
      </c>
      <c r="D5">
        <v>1</v>
      </c>
      <c r="E5">
        <v>4072</v>
      </c>
      <c r="F5">
        <v>208932</v>
      </c>
      <c r="G5">
        <v>209131</v>
      </c>
      <c r="H5" t="s">
        <v>123</v>
      </c>
    </row>
    <row r="6" spans="1:8" x14ac:dyDescent="0.2">
      <c r="A6" t="s">
        <v>214</v>
      </c>
      <c r="B6" t="s">
        <v>166</v>
      </c>
      <c r="C6">
        <v>1</v>
      </c>
      <c r="D6">
        <v>204345</v>
      </c>
      <c r="E6">
        <v>208392</v>
      </c>
      <c r="H6" t="s">
        <v>124</v>
      </c>
    </row>
    <row r="7" spans="1:8" x14ac:dyDescent="0.2">
      <c r="A7" t="s">
        <v>215</v>
      </c>
      <c r="B7" t="s">
        <v>118</v>
      </c>
      <c r="C7">
        <v>1</v>
      </c>
      <c r="D7">
        <v>680681</v>
      </c>
      <c r="E7">
        <v>685584</v>
      </c>
    </row>
    <row r="8" spans="1:8" x14ac:dyDescent="0.2">
      <c r="A8" t="s">
        <v>215</v>
      </c>
      <c r="B8" t="s">
        <v>167</v>
      </c>
      <c r="C8">
        <v>-1</v>
      </c>
      <c r="D8">
        <v>499405</v>
      </c>
      <c r="E8">
        <v>503419</v>
      </c>
    </row>
    <row r="9" spans="1:8" x14ac:dyDescent="0.2">
      <c r="A9" t="s">
        <v>215</v>
      </c>
      <c r="B9" t="s">
        <v>168</v>
      </c>
      <c r="C9">
        <v>-1</v>
      </c>
      <c r="D9">
        <v>96314</v>
      </c>
      <c r="E9">
        <v>100298</v>
      </c>
    </row>
    <row r="10" spans="1:8" x14ac:dyDescent="0.2">
      <c r="A10" t="s">
        <v>215</v>
      </c>
      <c r="B10" t="s">
        <v>169</v>
      </c>
      <c r="C10">
        <v>-1</v>
      </c>
      <c r="D10">
        <v>30611</v>
      </c>
      <c r="E10">
        <v>34345</v>
      </c>
      <c r="H10" t="s">
        <v>125</v>
      </c>
    </row>
    <row r="11" spans="1:8" x14ac:dyDescent="0.2">
      <c r="A11" t="s">
        <v>215</v>
      </c>
      <c r="B11" t="s">
        <v>169</v>
      </c>
      <c r="C11">
        <v>-1</v>
      </c>
      <c r="D11">
        <v>147743</v>
      </c>
      <c r="E11">
        <v>151895</v>
      </c>
      <c r="H11" t="s">
        <v>126</v>
      </c>
    </row>
    <row r="12" spans="1:8" x14ac:dyDescent="0.2">
      <c r="A12" t="s">
        <v>215</v>
      </c>
      <c r="B12" t="s">
        <v>170</v>
      </c>
      <c r="C12">
        <v>1</v>
      </c>
      <c r="D12">
        <v>24635</v>
      </c>
      <c r="E12">
        <v>28670</v>
      </c>
    </row>
    <row r="13" spans="1:8" x14ac:dyDescent="0.2">
      <c r="A13" t="s">
        <v>216</v>
      </c>
      <c r="B13" t="s">
        <v>118</v>
      </c>
      <c r="C13">
        <v>1</v>
      </c>
      <c r="D13">
        <v>464398</v>
      </c>
      <c r="E13">
        <v>469300</v>
      </c>
    </row>
    <row r="14" spans="1:8" x14ac:dyDescent="0.2">
      <c r="A14" t="s">
        <v>216</v>
      </c>
      <c r="B14" t="s">
        <v>167</v>
      </c>
      <c r="C14">
        <v>1</v>
      </c>
      <c r="D14">
        <v>465994</v>
      </c>
      <c r="E14">
        <v>470007</v>
      </c>
    </row>
    <row r="15" spans="1:8" x14ac:dyDescent="0.2">
      <c r="A15" t="s">
        <v>216</v>
      </c>
      <c r="B15" t="s">
        <v>168</v>
      </c>
      <c r="C15">
        <v>-1</v>
      </c>
      <c r="D15">
        <v>176735</v>
      </c>
      <c r="E15">
        <v>180800</v>
      </c>
    </row>
    <row r="16" spans="1:8" x14ac:dyDescent="0.2">
      <c r="A16" t="s">
        <v>216</v>
      </c>
      <c r="B16" t="s">
        <v>169</v>
      </c>
      <c r="C16">
        <v>-1</v>
      </c>
      <c r="D16">
        <v>1</v>
      </c>
      <c r="E16">
        <v>157606</v>
      </c>
      <c r="F16">
        <v>157436</v>
      </c>
      <c r="G16">
        <v>157499</v>
      </c>
      <c r="H16" t="s">
        <v>127</v>
      </c>
    </row>
    <row r="17" spans="1:8" x14ac:dyDescent="0.2">
      <c r="A17" t="s">
        <v>217</v>
      </c>
      <c r="B17" t="s">
        <v>171</v>
      </c>
      <c r="C17">
        <v>-1</v>
      </c>
      <c r="D17">
        <v>356498</v>
      </c>
      <c r="E17">
        <v>360560</v>
      </c>
    </row>
    <row r="18" spans="1:8" x14ac:dyDescent="0.2">
      <c r="A18" t="s">
        <v>217</v>
      </c>
      <c r="B18" t="s">
        <v>172</v>
      </c>
      <c r="C18">
        <v>1</v>
      </c>
      <c r="D18">
        <v>529224</v>
      </c>
      <c r="E18">
        <v>533289</v>
      </c>
    </row>
    <row r="19" spans="1:8" x14ac:dyDescent="0.2">
      <c r="A19" t="s">
        <v>217</v>
      </c>
      <c r="B19" t="s">
        <v>173</v>
      </c>
      <c r="C19">
        <v>1</v>
      </c>
      <c r="D19">
        <v>93693</v>
      </c>
      <c r="E19">
        <v>97776</v>
      </c>
      <c r="H19" t="s">
        <v>119</v>
      </c>
    </row>
    <row r="20" spans="1:8" x14ac:dyDescent="0.2">
      <c r="A20" t="s">
        <v>217</v>
      </c>
      <c r="B20" t="s">
        <v>174</v>
      </c>
      <c r="C20">
        <v>-1</v>
      </c>
      <c r="D20">
        <v>143248</v>
      </c>
      <c r="E20">
        <v>147258</v>
      </c>
    </row>
    <row r="21" spans="1:8" x14ac:dyDescent="0.2">
      <c r="A21" t="s">
        <v>218</v>
      </c>
      <c r="B21" t="s">
        <v>171</v>
      </c>
      <c r="C21">
        <v>-1</v>
      </c>
      <c r="D21">
        <v>1104511</v>
      </c>
      <c r="E21">
        <v>1108612</v>
      </c>
    </row>
    <row r="22" spans="1:8" x14ac:dyDescent="0.2">
      <c r="A22" t="s">
        <v>218</v>
      </c>
      <c r="B22" t="s">
        <v>172</v>
      </c>
      <c r="C22">
        <v>1</v>
      </c>
      <c r="D22">
        <v>352018</v>
      </c>
      <c r="E22">
        <v>356109</v>
      </c>
      <c r="H22" t="s">
        <v>130</v>
      </c>
    </row>
    <row r="23" spans="1:8" x14ac:dyDescent="0.2">
      <c r="A23" t="s">
        <v>218</v>
      </c>
      <c r="B23" t="s">
        <v>173</v>
      </c>
      <c r="C23">
        <v>1</v>
      </c>
      <c r="D23">
        <v>286183</v>
      </c>
      <c r="E23">
        <v>290250</v>
      </c>
    </row>
    <row r="24" spans="1:8" x14ac:dyDescent="0.2">
      <c r="A24" t="s">
        <v>219</v>
      </c>
      <c r="B24" t="s">
        <v>118</v>
      </c>
      <c r="C24">
        <v>1</v>
      </c>
      <c r="D24">
        <v>768669</v>
      </c>
      <c r="E24">
        <v>773573</v>
      </c>
    </row>
    <row r="25" spans="1:8" x14ac:dyDescent="0.2">
      <c r="A25" t="s">
        <v>219</v>
      </c>
      <c r="B25" t="s">
        <v>167</v>
      </c>
      <c r="C25">
        <v>1</v>
      </c>
      <c r="D25">
        <v>114005</v>
      </c>
      <c r="E25">
        <v>118018</v>
      </c>
    </row>
    <row r="26" spans="1:8" x14ac:dyDescent="0.2">
      <c r="A26" t="s">
        <v>219</v>
      </c>
      <c r="B26" t="s">
        <v>169</v>
      </c>
      <c r="C26">
        <v>-1</v>
      </c>
      <c r="D26">
        <v>130110</v>
      </c>
      <c r="E26">
        <v>134094</v>
      </c>
    </row>
    <row r="27" spans="1:8" x14ac:dyDescent="0.2">
      <c r="A27" t="s">
        <v>219</v>
      </c>
      <c r="B27" t="s">
        <v>170</v>
      </c>
      <c r="C27">
        <v>-1</v>
      </c>
      <c r="D27">
        <v>3312</v>
      </c>
      <c r="E27">
        <v>7704</v>
      </c>
      <c r="H27" t="s">
        <v>135</v>
      </c>
    </row>
    <row r="28" spans="1:8" x14ac:dyDescent="0.2">
      <c r="A28" t="s">
        <v>219</v>
      </c>
      <c r="B28" t="s">
        <v>175</v>
      </c>
      <c r="C28">
        <v>-1</v>
      </c>
      <c r="D28">
        <v>13471</v>
      </c>
      <c r="E28">
        <v>17428</v>
      </c>
    </row>
    <row r="29" spans="1:8" x14ac:dyDescent="0.2">
      <c r="A29" t="s">
        <v>220</v>
      </c>
      <c r="B29" t="s">
        <v>176</v>
      </c>
      <c r="C29">
        <v>1</v>
      </c>
      <c r="D29">
        <v>1</v>
      </c>
      <c r="E29">
        <v>3930</v>
      </c>
      <c r="F29">
        <v>2650860</v>
      </c>
      <c r="G29">
        <v>2650913</v>
      </c>
    </row>
    <row r="30" spans="1:8" x14ac:dyDescent="0.2">
      <c r="A30" t="s">
        <v>221</v>
      </c>
      <c r="B30" t="s">
        <v>177</v>
      </c>
      <c r="C30">
        <v>1</v>
      </c>
      <c r="D30">
        <v>33353</v>
      </c>
      <c r="E30">
        <v>36318</v>
      </c>
    </row>
    <row r="31" spans="1:8" x14ac:dyDescent="0.2">
      <c r="A31" t="s">
        <v>222</v>
      </c>
      <c r="B31" t="s">
        <v>178</v>
      </c>
      <c r="C31">
        <v>1</v>
      </c>
      <c r="D31">
        <v>129654</v>
      </c>
      <c r="E31">
        <v>134063</v>
      </c>
    </row>
    <row r="32" spans="1:8" x14ac:dyDescent="0.2">
      <c r="A32" t="s">
        <v>223</v>
      </c>
      <c r="B32" t="s">
        <v>179</v>
      </c>
      <c r="C32">
        <v>1</v>
      </c>
      <c r="D32">
        <v>14036</v>
      </c>
      <c r="E32">
        <v>18105</v>
      </c>
    </row>
    <row r="33" spans="1:8" x14ac:dyDescent="0.2">
      <c r="A33" t="s">
        <v>224</v>
      </c>
      <c r="B33" t="s">
        <v>171</v>
      </c>
      <c r="C33">
        <v>-1</v>
      </c>
      <c r="D33">
        <v>962856</v>
      </c>
      <c r="E33">
        <v>966639</v>
      </c>
      <c r="H33" t="s">
        <v>246</v>
      </c>
    </row>
    <row r="34" spans="1:8" x14ac:dyDescent="0.2">
      <c r="A34" t="s">
        <v>224</v>
      </c>
      <c r="B34" t="s">
        <v>171</v>
      </c>
      <c r="C34">
        <v>-1</v>
      </c>
      <c r="D34">
        <v>1066597</v>
      </c>
      <c r="E34">
        <v>1070613</v>
      </c>
      <c r="H34" t="s">
        <v>247</v>
      </c>
    </row>
    <row r="35" spans="1:8" x14ac:dyDescent="0.2">
      <c r="A35" t="s">
        <v>224</v>
      </c>
      <c r="B35" t="s">
        <v>172</v>
      </c>
      <c r="C35">
        <v>-1</v>
      </c>
      <c r="D35">
        <v>342326</v>
      </c>
      <c r="E35">
        <v>346467</v>
      </c>
      <c r="H35" t="s">
        <v>129</v>
      </c>
    </row>
    <row r="36" spans="1:8" x14ac:dyDescent="0.2">
      <c r="A36" t="s">
        <v>224</v>
      </c>
      <c r="B36" t="s">
        <v>173</v>
      </c>
      <c r="C36">
        <v>-1</v>
      </c>
      <c r="D36">
        <v>46647</v>
      </c>
      <c r="E36">
        <v>50744</v>
      </c>
    </row>
    <row r="37" spans="1:8" x14ac:dyDescent="0.2">
      <c r="A37" t="s">
        <v>224</v>
      </c>
      <c r="B37" t="s">
        <v>174</v>
      </c>
      <c r="C37">
        <v>-1</v>
      </c>
      <c r="D37">
        <v>168610</v>
      </c>
      <c r="E37">
        <v>172706</v>
      </c>
    </row>
    <row r="38" spans="1:8" x14ac:dyDescent="0.2">
      <c r="A38" t="s">
        <v>225</v>
      </c>
      <c r="B38" t="s">
        <v>171</v>
      </c>
      <c r="C38">
        <v>1</v>
      </c>
      <c r="D38">
        <v>1054078</v>
      </c>
      <c r="E38">
        <v>1057575</v>
      </c>
      <c r="H38" t="s">
        <v>246</v>
      </c>
    </row>
    <row r="39" spans="1:8" x14ac:dyDescent="0.2">
      <c r="A39" t="s">
        <v>225</v>
      </c>
      <c r="B39" t="s">
        <v>171</v>
      </c>
      <c r="C39">
        <v>1</v>
      </c>
      <c r="D39">
        <v>1070347</v>
      </c>
      <c r="E39">
        <v>1074363</v>
      </c>
      <c r="H39" t="s">
        <v>247</v>
      </c>
    </row>
    <row r="40" spans="1:8" x14ac:dyDescent="0.2">
      <c r="A40" t="s">
        <v>225</v>
      </c>
      <c r="B40" t="s">
        <v>172</v>
      </c>
      <c r="C40">
        <v>1</v>
      </c>
      <c r="D40">
        <v>23480</v>
      </c>
      <c r="E40">
        <v>27577</v>
      </c>
    </row>
    <row r="41" spans="1:8" x14ac:dyDescent="0.2">
      <c r="A41" t="s">
        <v>225</v>
      </c>
      <c r="B41" t="s">
        <v>173</v>
      </c>
      <c r="C41">
        <v>-1</v>
      </c>
      <c r="D41">
        <v>81069</v>
      </c>
      <c r="E41">
        <v>85165</v>
      </c>
    </row>
    <row r="42" spans="1:8" x14ac:dyDescent="0.2">
      <c r="A42" t="s">
        <v>225</v>
      </c>
      <c r="B42" t="s">
        <v>174</v>
      </c>
      <c r="C42">
        <v>1</v>
      </c>
      <c r="D42">
        <v>7966</v>
      </c>
      <c r="E42">
        <v>12036</v>
      </c>
      <c r="H42" t="s">
        <v>131</v>
      </c>
    </row>
    <row r="43" spans="1:8" x14ac:dyDescent="0.2">
      <c r="A43" t="s">
        <v>225</v>
      </c>
      <c r="B43" t="s">
        <v>180</v>
      </c>
      <c r="C43">
        <v>1</v>
      </c>
      <c r="D43">
        <v>50530</v>
      </c>
      <c r="E43">
        <v>54428</v>
      </c>
    </row>
    <row r="44" spans="1:8" x14ac:dyDescent="0.2">
      <c r="A44" t="s">
        <v>226</v>
      </c>
      <c r="B44" t="s">
        <v>181</v>
      </c>
      <c r="C44">
        <v>-1</v>
      </c>
      <c r="D44">
        <v>1022688</v>
      </c>
      <c r="E44">
        <v>1026775</v>
      </c>
    </row>
    <row r="45" spans="1:8" x14ac:dyDescent="0.2">
      <c r="A45" t="s">
        <v>226</v>
      </c>
      <c r="B45" t="s">
        <v>182</v>
      </c>
      <c r="C45">
        <v>1</v>
      </c>
      <c r="D45">
        <v>52393</v>
      </c>
      <c r="E45">
        <v>56424</v>
      </c>
      <c r="H45" t="s">
        <v>132</v>
      </c>
    </row>
    <row r="46" spans="1:8" x14ac:dyDescent="0.2">
      <c r="A46" t="s">
        <v>226</v>
      </c>
      <c r="B46" t="s">
        <v>183</v>
      </c>
      <c r="C46">
        <v>1</v>
      </c>
      <c r="D46">
        <v>1</v>
      </c>
      <c r="E46">
        <v>4020</v>
      </c>
      <c r="F46">
        <v>542822</v>
      </c>
      <c r="G46">
        <v>542868</v>
      </c>
    </row>
    <row r="47" spans="1:8" x14ac:dyDescent="0.2">
      <c r="A47" t="s">
        <v>227</v>
      </c>
      <c r="B47" t="s">
        <v>171</v>
      </c>
      <c r="C47">
        <v>1</v>
      </c>
      <c r="D47">
        <v>285519</v>
      </c>
      <c r="E47">
        <v>289502</v>
      </c>
    </row>
    <row r="48" spans="1:8" x14ac:dyDescent="0.2">
      <c r="A48" t="s">
        <v>227</v>
      </c>
      <c r="B48" t="s">
        <v>172</v>
      </c>
      <c r="C48">
        <v>1</v>
      </c>
      <c r="D48">
        <v>1</v>
      </c>
      <c r="E48">
        <v>4192</v>
      </c>
      <c r="F48">
        <v>397469</v>
      </c>
      <c r="G48">
        <v>397668</v>
      </c>
      <c r="H48" t="s">
        <v>133</v>
      </c>
    </row>
    <row r="49" spans="1:8" x14ac:dyDescent="0.2">
      <c r="A49" t="s">
        <v>228</v>
      </c>
      <c r="B49" t="s">
        <v>171</v>
      </c>
      <c r="C49">
        <v>1</v>
      </c>
      <c r="D49">
        <v>1</v>
      </c>
      <c r="E49">
        <v>4443</v>
      </c>
      <c r="F49">
        <v>1532685</v>
      </c>
      <c r="G49">
        <v>1532884</v>
      </c>
    </row>
    <row r="50" spans="1:8" x14ac:dyDescent="0.2">
      <c r="A50" t="s">
        <v>228</v>
      </c>
      <c r="B50" t="s">
        <v>172</v>
      </c>
      <c r="C50">
        <v>1</v>
      </c>
      <c r="D50">
        <v>1</v>
      </c>
      <c r="E50">
        <v>3818</v>
      </c>
      <c r="F50">
        <v>214460</v>
      </c>
      <c r="G50">
        <v>214659</v>
      </c>
    </row>
    <row r="51" spans="1:8" x14ac:dyDescent="0.2">
      <c r="A51" t="s">
        <v>229</v>
      </c>
      <c r="B51" t="s">
        <v>184</v>
      </c>
      <c r="C51">
        <v>1</v>
      </c>
      <c r="D51">
        <v>59325</v>
      </c>
      <c r="E51">
        <v>63875</v>
      </c>
      <c r="H51" t="s">
        <v>134</v>
      </c>
    </row>
    <row r="52" spans="1:8" x14ac:dyDescent="0.2">
      <c r="A52" t="s">
        <v>229</v>
      </c>
      <c r="B52" t="s">
        <v>185</v>
      </c>
      <c r="C52">
        <v>1</v>
      </c>
      <c r="D52">
        <v>1</v>
      </c>
      <c r="E52">
        <v>4099</v>
      </c>
      <c r="F52">
        <v>220367</v>
      </c>
      <c r="G52">
        <v>220566</v>
      </c>
      <c r="H52" t="s">
        <v>246</v>
      </c>
    </row>
    <row r="53" spans="1:8" x14ac:dyDescent="0.2">
      <c r="A53" t="s">
        <v>229</v>
      </c>
      <c r="B53" t="s">
        <v>185</v>
      </c>
      <c r="C53">
        <v>1</v>
      </c>
      <c r="D53">
        <v>69095</v>
      </c>
      <c r="E53">
        <v>73165</v>
      </c>
      <c r="H53" t="s">
        <v>247</v>
      </c>
    </row>
    <row r="54" spans="1:8" x14ac:dyDescent="0.2">
      <c r="A54" t="s">
        <v>229</v>
      </c>
      <c r="B54" t="s">
        <v>118</v>
      </c>
      <c r="C54">
        <v>1</v>
      </c>
      <c r="D54">
        <v>710178</v>
      </c>
      <c r="E54">
        <v>715081</v>
      </c>
    </row>
    <row r="55" spans="1:8" x14ac:dyDescent="0.2">
      <c r="A55" t="s">
        <v>230</v>
      </c>
      <c r="B55" t="s">
        <v>186</v>
      </c>
      <c r="C55">
        <v>-1</v>
      </c>
      <c r="D55">
        <v>401456</v>
      </c>
      <c r="E55">
        <v>405517</v>
      </c>
    </row>
    <row r="56" spans="1:8" x14ac:dyDescent="0.2">
      <c r="A56" t="s">
        <v>230</v>
      </c>
      <c r="B56" t="s">
        <v>187</v>
      </c>
      <c r="C56">
        <v>-1</v>
      </c>
      <c r="D56">
        <v>245767</v>
      </c>
      <c r="E56">
        <v>249925</v>
      </c>
    </row>
    <row r="57" spans="1:8" x14ac:dyDescent="0.2">
      <c r="A57" t="s">
        <v>230</v>
      </c>
      <c r="B57" t="s">
        <v>188</v>
      </c>
      <c r="C57">
        <v>1</v>
      </c>
      <c r="D57">
        <v>103302</v>
      </c>
      <c r="E57">
        <v>107245</v>
      </c>
    </row>
    <row r="58" spans="1:8" x14ac:dyDescent="0.2">
      <c r="A58" t="s">
        <v>231</v>
      </c>
      <c r="B58" t="s">
        <v>189</v>
      </c>
      <c r="C58">
        <v>1</v>
      </c>
      <c r="D58">
        <v>129205</v>
      </c>
      <c r="E58">
        <v>133219</v>
      </c>
    </row>
    <row r="59" spans="1:8" x14ac:dyDescent="0.2">
      <c r="A59" t="s">
        <v>231</v>
      </c>
      <c r="B59" t="s">
        <v>190</v>
      </c>
      <c r="C59">
        <v>1</v>
      </c>
      <c r="D59">
        <v>1</v>
      </c>
      <c r="E59">
        <v>4192</v>
      </c>
      <c r="F59">
        <v>226526</v>
      </c>
      <c r="G59">
        <v>226725</v>
      </c>
      <c r="H59" t="s">
        <v>135</v>
      </c>
    </row>
    <row r="60" spans="1:8" x14ac:dyDescent="0.2">
      <c r="A60" t="s">
        <v>231</v>
      </c>
      <c r="B60" t="s">
        <v>191</v>
      </c>
      <c r="C60">
        <v>-1</v>
      </c>
      <c r="D60">
        <v>23878</v>
      </c>
      <c r="E60">
        <v>27974</v>
      </c>
    </row>
    <row r="61" spans="1:8" x14ac:dyDescent="0.2">
      <c r="A61" t="s">
        <v>231</v>
      </c>
      <c r="B61" t="s">
        <v>118</v>
      </c>
      <c r="C61">
        <v>-1</v>
      </c>
      <c r="D61">
        <v>632045</v>
      </c>
      <c r="E61">
        <v>637050</v>
      </c>
    </row>
    <row r="62" spans="1:8" x14ac:dyDescent="0.2">
      <c r="A62" t="s">
        <v>232</v>
      </c>
      <c r="B62" t="s">
        <v>192</v>
      </c>
      <c r="C62">
        <v>-1</v>
      </c>
      <c r="D62">
        <v>1140038</v>
      </c>
      <c r="E62">
        <v>1144125</v>
      </c>
    </row>
    <row r="63" spans="1:8" x14ac:dyDescent="0.2">
      <c r="A63" t="s">
        <v>232</v>
      </c>
      <c r="B63" t="s">
        <v>193</v>
      </c>
      <c r="C63">
        <v>-1</v>
      </c>
      <c r="D63">
        <v>49458</v>
      </c>
      <c r="E63">
        <v>53113</v>
      </c>
      <c r="H63" t="s">
        <v>136</v>
      </c>
    </row>
    <row r="64" spans="1:8" x14ac:dyDescent="0.2">
      <c r="A64" t="s">
        <v>233</v>
      </c>
      <c r="B64" t="s">
        <v>171</v>
      </c>
      <c r="C64">
        <v>1</v>
      </c>
      <c r="D64">
        <v>395568</v>
      </c>
      <c r="E64">
        <v>399584</v>
      </c>
      <c r="H64" t="s">
        <v>246</v>
      </c>
    </row>
    <row r="65" spans="1:8" x14ac:dyDescent="0.2">
      <c r="A65" t="s">
        <v>233</v>
      </c>
      <c r="B65" t="s">
        <v>171</v>
      </c>
      <c r="C65">
        <v>1</v>
      </c>
      <c r="D65">
        <v>499413</v>
      </c>
      <c r="E65">
        <v>503512</v>
      </c>
      <c r="H65" t="s">
        <v>247</v>
      </c>
    </row>
    <row r="66" spans="1:8" x14ac:dyDescent="0.2">
      <c r="A66" t="s">
        <v>233</v>
      </c>
      <c r="B66" t="s">
        <v>172</v>
      </c>
      <c r="C66">
        <v>-1</v>
      </c>
      <c r="D66">
        <v>214877</v>
      </c>
      <c r="E66">
        <v>219017</v>
      </c>
    </row>
    <row r="67" spans="1:8" x14ac:dyDescent="0.2">
      <c r="A67" t="s">
        <v>233</v>
      </c>
      <c r="B67" t="s">
        <v>173</v>
      </c>
      <c r="C67">
        <v>-1</v>
      </c>
      <c r="D67">
        <v>19427</v>
      </c>
      <c r="E67">
        <v>23524</v>
      </c>
    </row>
    <row r="68" spans="1:8" x14ac:dyDescent="0.2">
      <c r="A68" t="s">
        <v>233</v>
      </c>
      <c r="B68" t="s">
        <v>174</v>
      </c>
      <c r="C68">
        <v>1</v>
      </c>
      <c r="D68">
        <v>108339</v>
      </c>
      <c r="E68">
        <v>112469</v>
      </c>
      <c r="H68" t="s">
        <v>137</v>
      </c>
    </row>
    <row r="69" spans="1:8" x14ac:dyDescent="0.2">
      <c r="A69" t="s">
        <v>234</v>
      </c>
      <c r="B69" t="s">
        <v>194</v>
      </c>
      <c r="C69">
        <v>1</v>
      </c>
      <c r="D69">
        <v>19238</v>
      </c>
      <c r="E69">
        <v>23221</v>
      </c>
    </row>
    <row r="70" spans="1:8" x14ac:dyDescent="0.2">
      <c r="A70" t="s">
        <v>234</v>
      </c>
      <c r="B70" t="s">
        <v>195</v>
      </c>
      <c r="C70">
        <v>1</v>
      </c>
      <c r="D70">
        <v>68422</v>
      </c>
      <c r="E70">
        <v>72425</v>
      </c>
      <c r="H70" t="s">
        <v>138</v>
      </c>
    </row>
    <row r="71" spans="1:8" x14ac:dyDescent="0.2">
      <c r="A71" t="s">
        <v>234</v>
      </c>
      <c r="B71" t="s">
        <v>196</v>
      </c>
      <c r="C71">
        <v>1</v>
      </c>
      <c r="D71">
        <v>45670</v>
      </c>
      <c r="E71">
        <v>49739</v>
      </c>
    </row>
    <row r="72" spans="1:8" x14ac:dyDescent="0.2">
      <c r="A72" t="s">
        <v>235</v>
      </c>
      <c r="B72" t="s">
        <v>197</v>
      </c>
      <c r="C72">
        <v>1</v>
      </c>
      <c r="D72">
        <v>1212570</v>
      </c>
      <c r="E72">
        <v>1216657</v>
      </c>
    </row>
    <row r="73" spans="1:8" x14ac:dyDescent="0.2">
      <c r="A73" t="s">
        <v>235</v>
      </c>
      <c r="B73" t="s">
        <v>198</v>
      </c>
      <c r="C73">
        <v>1</v>
      </c>
      <c r="D73">
        <v>76562</v>
      </c>
      <c r="E73">
        <v>80560</v>
      </c>
      <c r="H73" t="s">
        <v>139</v>
      </c>
    </row>
    <row r="74" spans="1:8" x14ac:dyDescent="0.2">
      <c r="A74" t="s">
        <v>235</v>
      </c>
      <c r="B74" t="s">
        <v>199</v>
      </c>
      <c r="C74">
        <v>1</v>
      </c>
      <c r="D74">
        <v>46662</v>
      </c>
      <c r="E74">
        <v>50764</v>
      </c>
    </row>
    <row r="75" spans="1:8" x14ac:dyDescent="0.2">
      <c r="A75" t="s">
        <v>236</v>
      </c>
      <c r="B75" t="s">
        <v>171</v>
      </c>
      <c r="C75">
        <v>1</v>
      </c>
      <c r="D75">
        <v>1018875</v>
      </c>
      <c r="E75">
        <v>1022959</v>
      </c>
    </row>
    <row r="76" spans="1:8" x14ac:dyDescent="0.2">
      <c r="A76" t="s">
        <v>236</v>
      </c>
      <c r="B76" t="s">
        <v>172</v>
      </c>
      <c r="C76">
        <v>-1</v>
      </c>
      <c r="D76">
        <v>362919</v>
      </c>
      <c r="E76">
        <v>366981</v>
      </c>
    </row>
    <row r="77" spans="1:8" x14ac:dyDescent="0.2">
      <c r="A77" t="s">
        <v>236</v>
      </c>
      <c r="B77" t="s">
        <v>173</v>
      </c>
      <c r="C77">
        <v>-1</v>
      </c>
      <c r="D77">
        <v>233130</v>
      </c>
      <c r="E77">
        <v>237070</v>
      </c>
    </row>
    <row r="78" spans="1:8" x14ac:dyDescent="0.2">
      <c r="A78" t="s">
        <v>236</v>
      </c>
      <c r="B78" t="s">
        <v>174</v>
      </c>
      <c r="C78">
        <v>1</v>
      </c>
      <c r="D78">
        <v>1</v>
      </c>
      <c r="E78">
        <v>4188</v>
      </c>
      <c r="F78">
        <v>220682</v>
      </c>
      <c r="G78">
        <v>220881</v>
      </c>
      <c r="H78" t="s">
        <v>140</v>
      </c>
    </row>
    <row r="79" spans="1:8" x14ac:dyDescent="0.2">
      <c r="A79" t="s">
        <v>236</v>
      </c>
      <c r="B79" t="s">
        <v>180</v>
      </c>
      <c r="C79">
        <v>-1</v>
      </c>
      <c r="D79">
        <v>73252</v>
      </c>
      <c r="E79">
        <v>77269</v>
      </c>
    </row>
    <row r="80" spans="1:8" x14ac:dyDescent="0.2">
      <c r="A80" t="s">
        <v>236</v>
      </c>
      <c r="B80" t="s">
        <v>200</v>
      </c>
      <c r="C80">
        <v>-1</v>
      </c>
      <c r="D80">
        <v>78727</v>
      </c>
      <c r="E80">
        <v>82748</v>
      </c>
    </row>
    <row r="81" spans="1:8" x14ac:dyDescent="0.2">
      <c r="A81" t="s">
        <v>237</v>
      </c>
      <c r="B81" t="s">
        <v>201</v>
      </c>
      <c r="C81">
        <v>1</v>
      </c>
      <c r="D81">
        <v>35761</v>
      </c>
      <c r="E81">
        <v>39911</v>
      </c>
      <c r="H81" t="s">
        <v>246</v>
      </c>
    </row>
    <row r="82" spans="1:8" x14ac:dyDescent="0.2">
      <c r="A82" t="s">
        <v>237</v>
      </c>
      <c r="B82" t="s">
        <v>201</v>
      </c>
      <c r="C82">
        <v>1</v>
      </c>
      <c r="D82">
        <v>190305</v>
      </c>
      <c r="E82">
        <v>194429</v>
      </c>
      <c r="H82" t="s">
        <v>247</v>
      </c>
    </row>
    <row r="83" spans="1:8" x14ac:dyDescent="0.2">
      <c r="A83" t="s">
        <v>237</v>
      </c>
      <c r="B83" t="s">
        <v>202</v>
      </c>
      <c r="C83">
        <v>1</v>
      </c>
      <c r="D83">
        <v>180390</v>
      </c>
      <c r="E83">
        <v>184538</v>
      </c>
    </row>
    <row r="84" spans="1:8" x14ac:dyDescent="0.2">
      <c r="A84" t="s">
        <v>237</v>
      </c>
      <c r="B84" t="s">
        <v>203</v>
      </c>
      <c r="C84">
        <v>1</v>
      </c>
      <c r="D84">
        <v>247041</v>
      </c>
      <c r="E84">
        <v>251148</v>
      </c>
    </row>
    <row r="85" spans="1:8" x14ac:dyDescent="0.2">
      <c r="A85" t="s">
        <v>237</v>
      </c>
      <c r="B85" t="s">
        <v>204</v>
      </c>
      <c r="C85">
        <v>1</v>
      </c>
      <c r="D85">
        <v>501577</v>
      </c>
      <c r="E85">
        <v>505534</v>
      </c>
    </row>
    <row r="86" spans="1:8" x14ac:dyDescent="0.2">
      <c r="A86" t="s">
        <v>237</v>
      </c>
      <c r="B86" t="s">
        <v>205</v>
      </c>
      <c r="C86">
        <v>-1</v>
      </c>
      <c r="D86">
        <v>223167</v>
      </c>
      <c r="E86">
        <v>227222</v>
      </c>
      <c r="H86" t="s">
        <v>246</v>
      </c>
    </row>
    <row r="87" spans="1:8" x14ac:dyDescent="0.2">
      <c r="A87" t="s">
        <v>237</v>
      </c>
      <c r="B87" t="s">
        <v>205</v>
      </c>
      <c r="C87">
        <v>1</v>
      </c>
      <c r="D87">
        <v>638572</v>
      </c>
      <c r="E87">
        <v>642717</v>
      </c>
      <c r="H87" t="s">
        <v>247</v>
      </c>
    </row>
    <row r="88" spans="1:8" x14ac:dyDescent="0.2">
      <c r="A88" t="s">
        <v>237</v>
      </c>
      <c r="B88" t="s">
        <v>206</v>
      </c>
      <c r="C88">
        <v>1</v>
      </c>
      <c r="D88">
        <v>367454</v>
      </c>
      <c r="E88">
        <v>371454</v>
      </c>
    </row>
    <row r="89" spans="1:8" x14ac:dyDescent="0.2">
      <c r="A89" t="s">
        <v>238</v>
      </c>
      <c r="B89" t="s">
        <v>171</v>
      </c>
      <c r="C89">
        <v>-1</v>
      </c>
      <c r="D89">
        <v>1098482</v>
      </c>
      <c r="E89">
        <v>1102566</v>
      </c>
    </row>
    <row r="90" spans="1:8" x14ac:dyDescent="0.2">
      <c r="A90" t="s">
        <v>238</v>
      </c>
      <c r="B90" t="s">
        <v>172</v>
      </c>
      <c r="C90">
        <v>-1</v>
      </c>
      <c r="D90">
        <v>181830</v>
      </c>
      <c r="E90">
        <v>185913</v>
      </c>
      <c r="H90" t="s">
        <v>119</v>
      </c>
    </row>
    <row r="91" spans="1:8" x14ac:dyDescent="0.2">
      <c r="A91" t="s">
        <v>238</v>
      </c>
      <c r="B91" t="s">
        <v>173</v>
      </c>
      <c r="C91">
        <v>1</v>
      </c>
      <c r="D91">
        <v>140932</v>
      </c>
      <c r="E91">
        <v>144994</v>
      </c>
    </row>
    <row r="92" spans="1:8" x14ac:dyDescent="0.2">
      <c r="A92" t="s">
        <v>239</v>
      </c>
      <c r="B92" t="s">
        <v>207</v>
      </c>
      <c r="C92">
        <v>1</v>
      </c>
      <c r="D92">
        <v>1</v>
      </c>
      <c r="E92">
        <v>4119</v>
      </c>
      <c r="F92">
        <v>2430078</v>
      </c>
      <c r="G92">
        <v>2430033</v>
      </c>
    </row>
    <row r="93" spans="1:8" x14ac:dyDescent="0.2">
      <c r="A93" t="s">
        <v>239</v>
      </c>
      <c r="B93" t="s">
        <v>208</v>
      </c>
      <c r="C93">
        <v>1</v>
      </c>
      <c r="D93">
        <v>101</v>
      </c>
      <c r="E93">
        <v>3930</v>
      </c>
    </row>
    <row r="94" spans="1:8" x14ac:dyDescent="0.2">
      <c r="A94" t="s">
        <v>240</v>
      </c>
      <c r="B94" t="s">
        <v>209</v>
      </c>
      <c r="C94">
        <v>-1</v>
      </c>
      <c r="D94">
        <v>48325</v>
      </c>
      <c r="E94">
        <v>52308</v>
      </c>
    </row>
    <row r="95" spans="1:8" x14ac:dyDescent="0.2">
      <c r="A95" t="s">
        <v>240</v>
      </c>
      <c r="B95" t="s">
        <v>210</v>
      </c>
      <c r="C95">
        <v>1</v>
      </c>
      <c r="D95">
        <v>39279</v>
      </c>
      <c r="E95">
        <v>43282</v>
      </c>
      <c r="H95" t="s">
        <v>142</v>
      </c>
    </row>
    <row r="96" spans="1:8" x14ac:dyDescent="0.2">
      <c r="A96" t="s">
        <v>240</v>
      </c>
      <c r="B96" t="s">
        <v>211</v>
      </c>
      <c r="C96">
        <v>1</v>
      </c>
      <c r="D96">
        <v>32183</v>
      </c>
      <c r="E96">
        <v>36253</v>
      </c>
    </row>
    <row r="97" spans="1:7" x14ac:dyDescent="0.2">
      <c r="A97" t="s">
        <v>241</v>
      </c>
      <c r="B97" t="s">
        <v>171</v>
      </c>
      <c r="C97">
        <v>1</v>
      </c>
      <c r="D97">
        <v>139081</v>
      </c>
      <c r="E97">
        <v>143101</v>
      </c>
    </row>
    <row r="98" spans="1:7" x14ac:dyDescent="0.2">
      <c r="A98" t="s">
        <v>241</v>
      </c>
      <c r="B98" t="s">
        <v>172</v>
      </c>
      <c r="C98">
        <v>1</v>
      </c>
      <c r="D98">
        <v>324144</v>
      </c>
      <c r="E98">
        <v>328201</v>
      </c>
    </row>
    <row r="99" spans="1:7" x14ac:dyDescent="0.2">
      <c r="A99" t="s">
        <v>241</v>
      </c>
      <c r="B99" t="s">
        <v>173</v>
      </c>
      <c r="C99">
        <v>1</v>
      </c>
      <c r="D99">
        <v>91799</v>
      </c>
      <c r="E99">
        <v>95756</v>
      </c>
    </row>
    <row r="100" spans="1:7" x14ac:dyDescent="0.2">
      <c r="A100" t="s">
        <v>241</v>
      </c>
      <c r="B100" t="s">
        <v>174</v>
      </c>
      <c r="C100">
        <v>1</v>
      </c>
      <c r="D100">
        <v>521376</v>
      </c>
      <c r="E100">
        <v>525486</v>
      </c>
    </row>
    <row r="101" spans="1:7" x14ac:dyDescent="0.2">
      <c r="A101" t="s">
        <v>242</v>
      </c>
      <c r="B101" t="s">
        <v>172</v>
      </c>
      <c r="C101">
        <v>1</v>
      </c>
      <c r="D101">
        <v>1</v>
      </c>
      <c r="E101">
        <v>3859</v>
      </c>
      <c r="F101">
        <v>987548</v>
      </c>
      <c r="G101">
        <v>987747</v>
      </c>
    </row>
    <row r="102" spans="1:7" x14ac:dyDescent="0.2">
      <c r="A102" t="s">
        <v>242</v>
      </c>
      <c r="B102" t="s">
        <v>173</v>
      </c>
      <c r="C102">
        <v>1</v>
      </c>
      <c r="D102">
        <v>1</v>
      </c>
      <c r="E102">
        <v>3729</v>
      </c>
      <c r="F102">
        <v>584236</v>
      </c>
      <c r="G102">
        <v>584435</v>
      </c>
    </row>
    <row r="103" spans="1:7" x14ac:dyDescent="0.2">
      <c r="A103" t="s">
        <v>242</v>
      </c>
      <c r="B103" t="s">
        <v>174</v>
      </c>
      <c r="C103">
        <v>1</v>
      </c>
      <c r="D103">
        <v>1</v>
      </c>
      <c r="E103">
        <v>3914</v>
      </c>
      <c r="F103">
        <v>293178</v>
      </c>
      <c r="G103">
        <v>293377</v>
      </c>
    </row>
    <row r="104" spans="1:7" x14ac:dyDescent="0.2">
      <c r="A104" t="s">
        <v>242</v>
      </c>
      <c r="B104" t="s">
        <v>180</v>
      </c>
      <c r="C104">
        <v>1</v>
      </c>
      <c r="D104">
        <v>1</v>
      </c>
      <c r="E104">
        <v>3912</v>
      </c>
      <c r="F104">
        <v>266110</v>
      </c>
      <c r="G104">
        <v>266309</v>
      </c>
    </row>
    <row r="105" spans="1:7" x14ac:dyDescent="0.2">
      <c r="A105" t="s">
        <v>242</v>
      </c>
      <c r="B105" t="s">
        <v>200</v>
      </c>
      <c r="C105">
        <v>-1</v>
      </c>
      <c r="D105">
        <v>35489</v>
      </c>
      <c r="E105">
        <v>39509</v>
      </c>
    </row>
    <row r="106" spans="1:7" x14ac:dyDescent="0.2">
      <c r="A106" t="s">
        <v>243</v>
      </c>
      <c r="B106" t="s">
        <v>171</v>
      </c>
      <c r="C106">
        <v>1</v>
      </c>
      <c r="D106">
        <v>13495</v>
      </c>
      <c r="E106">
        <v>17623</v>
      </c>
    </row>
    <row r="107" spans="1:7" x14ac:dyDescent="0.2">
      <c r="A107" t="s">
        <v>243</v>
      </c>
      <c r="B107" t="s">
        <v>172</v>
      </c>
      <c r="C107">
        <v>-1</v>
      </c>
      <c r="D107">
        <v>217262</v>
      </c>
      <c r="E107">
        <v>221408</v>
      </c>
    </row>
    <row r="108" spans="1:7" x14ac:dyDescent="0.2">
      <c r="A108" t="s">
        <v>243</v>
      </c>
      <c r="B108" t="s">
        <v>173</v>
      </c>
      <c r="C108">
        <v>1</v>
      </c>
      <c r="D108">
        <v>46306</v>
      </c>
      <c r="E108">
        <v>50264</v>
      </c>
    </row>
    <row r="109" spans="1:7" x14ac:dyDescent="0.2">
      <c r="A109" t="s">
        <v>243</v>
      </c>
      <c r="B109" t="s">
        <v>174</v>
      </c>
      <c r="C109">
        <v>-1</v>
      </c>
      <c r="D109">
        <v>356625</v>
      </c>
      <c r="E109">
        <v>360682</v>
      </c>
    </row>
    <row r="110" spans="1:7" x14ac:dyDescent="0.2">
      <c r="A110" t="s">
        <v>244</v>
      </c>
      <c r="B110" t="s">
        <v>171</v>
      </c>
      <c r="C110">
        <v>1</v>
      </c>
      <c r="D110">
        <v>1</v>
      </c>
      <c r="E110">
        <v>3858</v>
      </c>
      <c r="F110">
        <v>754471</v>
      </c>
      <c r="G110">
        <v>754670</v>
      </c>
    </row>
    <row r="111" spans="1:7" x14ac:dyDescent="0.2">
      <c r="A111" t="s">
        <v>244</v>
      </c>
      <c r="B111" t="s">
        <v>172</v>
      </c>
      <c r="C111">
        <v>1</v>
      </c>
      <c r="D111">
        <v>1</v>
      </c>
      <c r="E111">
        <v>3728</v>
      </c>
      <c r="F111">
        <v>728569</v>
      </c>
      <c r="G111">
        <v>728768</v>
      </c>
    </row>
    <row r="112" spans="1:7" x14ac:dyDescent="0.2">
      <c r="A112" t="s">
        <v>244</v>
      </c>
      <c r="B112" t="s">
        <v>173</v>
      </c>
      <c r="C112">
        <v>1</v>
      </c>
      <c r="D112">
        <v>1</v>
      </c>
      <c r="E112">
        <v>3911</v>
      </c>
      <c r="F112">
        <v>655944</v>
      </c>
      <c r="G112">
        <v>656143</v>
      </c>
    </row>
    <row r="113" spans="1:8" x14ac:dyDescent="0.2">
      <c r="A113" t="s">
        <v>244</v>
      </c>
      <c r="B113" t="s">
        <v>174</v>
      </c>
      <c r="C113">
        <v>1</v>
      </c>
      <c r="D113">
        <v>1</v>
      </c>
      <c r="E113">
        <v>3947</v>
      </c>
      <c r="F113">
        <v>520490</v>
      </c>
      <c r="G113">
        <v>520689</v>
      </c>
    </row>
    <row r="114" spans="1:8" x14ac:dyDescent="0.2">
      <c r="A114" t="s">
        <v>245</v>
      </c>
      <c r="B114" t="s">
        <v>171</v>
      </c>
      <c r="C114">
        <v>1</v>
      </c>
      <c r="D114">
        <v>1</v>
      </c>
      <c r="E114">
        <v>3859</v>
      </c>
      <c r="F114">
        <v>924532</v>
      </c>
      <c r="G114">
        <v>924731</v>
      </c>
    </row>
    <row r="115" spans="1:8" x14ac:dyDescent="0.2">
      <c r="A115" t="s">
        <v>245</v>
      </c>
      <c r="B115" t="s">
        <v>172</v>
      </c>
      <c r="C115">
        <v>1</v>
      </c>
      <c r="D115">
        <v>1</v>
      </c>
      <c r="E115">
        <v>3728</v>
      </c>
      <c r="F115">
        <v>678976</v>
      </c>
      <c r="G115">
        <v>679175</v>
      </c>
    </row>
    <row r="116" spans="1:8" x14ac:dyDescent="0.2">
      <c r="A116" t="s">
        <v>245</v>
      </c>
      <c r="B116" t="s">
        <v>173</v>
      </c>
      <c r="C116">
        <v>1</v>
      </c>
      <c r="D116">
        <v>1</v>
      </c>
      <c r="E116">
        <v>3911</v>
      </c>
      <c r="F116">
        <v>455459</v>
      </c>
      <c r="G116">
        <v>455658</v>
      </c>
    </row>
    <row r="117" spans="1:8" x14ac:dyDescent="0.2">
      <c r="A117" t="s">
        <v>245</v>
      </c>
      <c r="B117" t="s">
        <v>174</v>
      </c>
      <c r="C117">
        <v>1</v>
      </c>
      <c r="D117">
        <v>1</v>
      </c>
      <c r="E117">
        <v>3913</v>
      </c>
      <c r="F117">
        <v>392472</v>
      </c>
      <c r="G117">
        <v>392671</v>
      </c>
    </row>
    <row r="118" spans="1:8" x14ac:dyDescent="0.2">
      <c r="A118" t="s">
        <v>245</v>
      </c>
      <c r="B118" t="s">
        <v>180</v>
      </c>
      <c r="C118">
        <v>1</v>
      </c>
      <c r="D118">
        <v>1</v>
      </c>
      <c r="E118">
        <v>3807</v>
      </c>
      <c r="F118">
        <v>386534</v>
      </c>
      <c r="G118">
        <v>386733</v>
      </c>
      <c r="H118" t="s">
        <v>246</v>
      </c>
    </row>
    <row r="119" spans="1:8" x14ac:dyDescent="0.2">
      <c r="A119" t="s">
        <v>245</v>
      </c>
      <c r="B119" t="s">
        <v>180</v>
      </c>
      <c r="C119">
        <v>1</v>
      </c>
      <c r="D119">
        <v>357563</v>
      </c>
      <c r="E119">
        <v>361577</v>
      </c>
      <c r="H11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Weisberg, Alexandra J</cp:lastModifiedBy>
  <dcterms:created xsi:type="dcterms:W3CDTF">2026-04-09T19:51:43Z</dcterms:created>
  <dcterms:modified xsi:type="dcterms:W3CDTF">2026-04-13T21:50:14Z</dcterms:modified>
</cp:coreProperties>
</file>